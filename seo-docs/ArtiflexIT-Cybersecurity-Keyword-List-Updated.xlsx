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Cybersecurity Overview" sheetId="2" state="visible" r:id="rId2"/>
    <sheet xmlns:r="http://schemas.openxmlformats.org/officeDocument/2006/relationships" name="02 Firewalls &amp; Network Sec" sheetId="3" state="visible" r:id="rId3"/>
    <sheet xmlns:r="http://schemas.openxmlformats.org/officeDocument/2006/relationships" name="03 Endpoint Security EDR XDR" sheetId="4" state="visible" r:id="rId4"/>
    <sheet xmlns:r="http://schemas.openxmlformats.org/officeDocument/2006/relationships" name="04 Email Security" sheetId="5" state="visible" r:id="rId5"/>
    <sheet xmlns:r="http://schemas.openxmlformats.org/officeDocument/2006/relationships" name="05 Data Loss Prevention DLP" sheetId="6" state="visible" r:id="rId6"/>
    <sheet xmlns:r="http://schemas.openxmlformats.org/officeDocument/2006/relationships" name="06 SASE SSE CASB" sheetId="7" state="visible" r:id="rId7"/>
    <sheet xmlns:r="http://schemas.openxmlformats.org/officeDocument/2006/relationships" name="07 SIEM SOAR MDR" sheetId="8" state="visible" r:id="rId8"/>
    <sheet xmlns:r="http://schemas.openxmlformats.org/officeDocument/2006/relationships" name="08 Pen Testing &amp; VulnMgmt" sheetId="9" state="visible" r:id="rId9"/>
    <sheet xmlns:r="http://schemas.openxmlformats.org/officeDocument/2006/relationships" name="09 Vendor Scorecard" sheetId="10" state="visible" r:id="rId10"/>
    <sheet xmlns:r="http://schemas.openxmlformats.org/officeDocument/2006/relationships" name="10 Implementation Roadmap" sheetId="11" state="visible" r:id="rId11"/>
    <sheet xmlns:r="http://schemas.openxmlformats.org/officeDocument/2006/relationships" name="New Pages Back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3864"/>
      <sz val="16"/>
    </font>
  </fonts>
  <fills count="10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7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6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top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0" borderId="0" pivotButton="0" quotePrefix="0" xfId="0"/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Artiflex IT Cybersecurity Cluster — Updated Keyword List</t>
        </is>
      </c>
    </row>
    <row r="2">
      <c r="A2" s="2" t="inlineStr">
        <is>
          <t>Source:  SEO audit of 10 cybersecurity pillar pages (Apr 2026)</t>
        </is>
      </c>
    </row>
    <row r="3">
      <c r="A3" s="2" t="inlineStr">
        <is>
          <t>Prepared for:  Artiflex IT | mariyamjahangir@artiflexit.com</t>
        </is>
      </c>
    </row>
    <row r="5">
      <c r="A5" s="3" t="inlineStr">
        <is>
          <t>How to use this workbook</t>
        </is>
      </c>
    </row>
    <row r="6">
      <c r="A6" s="2" t="inlineStr">
        <is>
          <t>•  Each page has its own tab (01 through 10) with the revised keyword list.</t>
        </is>
      </c>
    </row>
    <row r="7">
      <c r="A7" s="2" t="inlineStr">
        <is>
          <t>•  The 'New Pages Backlog' tab contains keyword clusters that support NEW pillar pages the audit recommends.</t>
        </is>
      </c>
    </row>
    <row r="8">
      <c r="A8" s="2" t="inlineStr">
        <is>
          <t>•  Column F (Status) shows whether a keyword is kept, revised, new, demoted, or dropped vs. the original brief.</t>
        </is>
      </c>
    </row>
    <row r="9">
      <c r="A9" s="2" t="inlineStr">
        <is>
          <t>•  Status colours: green = existing, amber = revised, blue = new, orange = demoted, red = dropped.</t>
        </is>
      </c>
    </row>
    <row r="10">
      <c r="A10" s="2" t="inlineStr">
        <is>
          <t>•  Volumes are global SERP estimates from Ahrefs/SEMrush/Keyword Planner averages — treat as directional, not precise.</t>
        </is>
      </c>
    </row>
    <row r="11">
      <c r="A11" s="2" t="inlineStr">
        <is>
          <t>•  Place primary/secondary keywords in H1, H2, URL, meta title, first 100 words. Long-tail in H3/body/FAQ.</t>
        </is>
      </c>
    </row>
    <row r="14">
      <c r="A14" s="3" t="inlineStr">
        <is>
          <t>Legend — Keyword Type</t>
        </is>
      </c>
    </row>
    <row r="15">
      <c r="A15" s="4" t="inlineStr">
        <is>
          <t>Primary</t>
        </is>
      </c>
      <c r="B15" s="2" t="inlineStr">
        <is>
          <t>Main keyword the page targets. Use in H1, meta title, URL, first paragraph.</t>
        </is>
      </c>
    </row>
    <row r="16">
      <c r="A16" s="4" t="inlineStr">
        <is>
          <t>Secondary</t>
        </is>
      </c>
      <c r="B16" s="2" t="inlineStr">
        <is>
          <t>Closely related keyword. Use in H2s and multiple times in body.</t>
        </is>
      </c>
    </row>
    <row r="17">
      <c r="A17" s="4" t="inlineStr">
        <is>
          <t>Long-tail</t>
        </is>
      </c>
      <c r="B17" s="2" t="inlineStr">
        <is>
          <t>Lower-volume variation or question. Use in H3, body, FAQ.</t>
        </is>
      </c>
    </row>
    <row r="18">
      <c r="A18" s="4" t="inlineStr">
        <is>
          <t>Geo</t>
        </is>
      </c>
      <c r="B18" s="2" t="inlineStr">
        <is>
          <t>Geographic modifier (Dubai, UAE, GCC, Abu Dhabi). Critical for local ranking.</t>
        </is>
      </c>
    </row>
    <row r="19">
      <c r="A19" s="4" t="inlineStr">
        <is>
          <t>Compliance</t>
        </is>
      </c>
      <c r="B19" s="2" t="inlineStr">
        <is>
          <t>Regulatory/standard term (NESA, SAMA, PDPL, ISO 27001, SOC 2).</t>
        </is>
      </c>
    </row>
    <row r="20">
      <c r="A20" s="4" t="inlineStr">
        <is>
          <t>Comparison</t>
        </is>
      </c>
      <c r="B20" s="2" t="inlineStr">
        <is>
          <t>Head-to-head vendor comparison query (e.g., CrowdStrike vs SentinelOne).</t>
        </is>
      </c>
    </row>
    <row r="21">
      <c r="A21" s="4" t="inlineStr">
        <is>
          <t>Question</t>
        </is>
      </c>
      <c r="B21" s="2" t="inlineStr">
        <is>
          <t>Natural-language question for FAQ block and People-Also-Ask capture.</t>
        </is>
      </c>
    </row>
    <row r="22">
      <c r="A22" s="4" t="inlineStr">
        <is>
          <t>Partner</t>
        </is>
      </c>
      <c r="B22" s="2" t="inlineStr">
        <is>
          <t>Vendor-partnership keyword (e.g., Fortinet partner Dubai).</t>
        </is>
      </c>
    </row>
    <row r="23">
      <c r="A23" s="4" t="inlineStr">
        <is>
          <t>Brand</t>
        </is>
      </c>
      <c r="B23" s="2" t="inlineStr">
        <is>
          <t>Brand or entity term — used in anchors and schema, not density.</t>
        </is>
      </c>
    </row>
    <row r="25">
      <c r="A25" s="3" t="inlineStr">
        <is>
          <t>Legend — Status</t>
        </is>
      </c>
    </row>
    <row r="26">
      <c r="A26" s="5" t="inlineStr">
        <is>
          <t>Existing</t>
        </is>
      </c>
      <c r="B26" s="2" t="inlineStr">
        <is>
          <t>Kept from the original brief — no change.</t>
        </is>
      </c>
    </row>
    <row r="27">
      <c r="A27" s="6" t="inlineStr">
        <is>
          <t>Revised</t>
        </is>
      </c>
      <c r="B27" s="2" t="inlineStr">
        <is>
          <t>Kept but repurposed (e.g., moved from H2 to FAQ, or demoted).</t>
        </is>
      </c>
    </row>
    <row r="28">
      <c r="A28" s="7" t="inlineStr">
        <is>
          <t>New</t>
        </is>
      </c>
      <c r="B28" s="2" t="inlineStr">
        <is>
          <t>Added based on audit findings — geo, compliance, comparison, question.</t>
        </is>
      </c>
    </row>
    <row r="29">
      <c r="A29" s="8" t="inlineStr">
        <is>
          <t>Demoted</t>
        </is>
      </c>
      <c r="B29" s="2" t="inlineStr">
        <is>
          <t>Kept but downgraded in priority (e.g., inflated volume or wrong intent).</t>
        </is>
      </c>
    </row>
    <row r="30">
      <c r="A30" s="9" t="inlineStr">
        <is>
          <t>Dropped</t>
        </is>
      </c>
      <c r="B30" s="2" t="inlineStr">
        <is>
          <t>Removed — wrong intent, cannibalisation risk, or inflated volume.</t>
        </is>
      </c>
    </row>
    <row r="32">
      <c r="A32" s="3" t="inlineStr">
        <is>
          <t>Workbook summary (auto-calculated)</t>
        </is>
      </c>
    </row>
    <row r="33">
      <c r="A33" s="10" t="inlineStr">
        <is>
          <t>Page</t>
        </is>
      </c>
      <c r="B33" s="10" t="inlineStr">
        <is>
          <t>Total Keywords</t>
        </is>
      </c>
      <c r="C33" s="10" t="inlineStr">
        <is>
          <t>New</t>
        </is>
      </c>
      <c r="D33" s="10" t="inlineStr">
        <is>
          <t>Revised</t>
        </is>
      </c>
      <c r="E33" s="10" t="inlineStr">
        <is>
          <t>Total Volume</t>
        </is>
      </c>
    </row>
    <row r="34">
      <c r="A34" s="11" t="inlineStr">
        <is>
          <t>01 Cybersecurity Overview</t>
        </is>
      </c>
      <c r="B34" s="11">
        <f>COUNT('01 Cybersecurity Overview'!C7:C200)</f>
        <v/>
      </c>
      <c r="C34" s="11">
        <f>COUNTIF('01 Cybersecurity Overview'!F7:F200,"New")</f>
        <v/>
      </c>
      <c r="D34" s="11">
        <f>COUNTIF('01 Cybersecurity Overview'!F7:F200,"Revised")</f>
        <v/>
      </c>
      <c r="E34" s="12">
        <f>SUM('01 Cybersecurity Overview'!C7:C200)</f>
        <v/>
      </c>
    </row>
    <row r="35">
      <c r="A35" s="11" t="inlineStr">
        <is>
          <t>02 Firewalls &amp; Network Sec</t>
        </is>
      </c>
      <c r="B35" s="11">
        <f>COUNT('02 Firewalls &amp; Network Sec'!C7:C200)</f>
        <v/>
      </c>
      <c r="C35" s="11">
        <f>COUNTIF('02 Firewalls &amp; Network Sec'!F7:F200,"New")</f>
        <v/>
      </c>
      <c r="D35" s="11">
        <f>COUNTIF('02 Firewalls &amp; Network Sec'!F7:F200,"Revised")</f>
        <v/>
      </c>
      <c r="E35" s="12">
        <f>SUM('02 Firewalls &amp; Network Sec'!C7:C200)</f>
        <v/>
      </c>
    </row>
    <row r="36">
      <c r="A36" s="11" t="inlineStr">
        <is>
          <t>03 Endpoint Security EDR XDR</t>
        </is>
      </c>
      <c r="B36" s="11">
        <f>COUNT('03 Endpoint Security EDR XDR'!C7:C200)</f>
        <v/>
      </c>
      <c r="C36" s="11">
        <f>COUNTIF('03 Endpoint Security EDR XDR'!F7:F200,"New")</f>
        <v/>
      </c>
      <c r="D36" s="11">
        <f>COUNTIF('03 Endpoint Security EDR XDR'!F7:F200,"Revised")</f>
        <v/>
      </c>
      <c r="E36" s="12">
        <f>SUM('03 Endpoint Security EDR XDR'!C7:C200)</f>
        <v/>
      </c>
    </row>
    <row r="37">
      <c r="A37" s="11" t="inlineStr">
        <is>
          <t>04 Email Security</t>
        </is>
      </c>
      <c r="B37" s="11">
        <f>COUNT('04 Email Security'!C7:C200)</f>
        <v/>
      </c>
      <c r="C37" s="11">
        <f>COUNTIF('04 Email Security'!F7:F200,"New")</f>
        <v/>
      </c>
      <c r="D37" s="11">
        <f>COUNTIF('04 Email Security'!F7:F200,"Revised")</f>
        <v/>
      </c>
      <c r="E37" s="12">
        <f>SUM('04 Email Security'!C7:C200)</f>
        <v/>
      </c>
    </row>
    <row r="38">
      <c r="A38" s="11" t="inlineStr">
        <is>
          <t>05 Data Loss Prevention DLP</t>
        </is>
      </c>
      <c r="B38" s="11">
        <f>COUNT('05 Data Loss Prevention DLP'!C7:C200)</f>
        <v/>
      </c>
      <c r="C38" s="11">
        <f>COUNTIF('05 Data Loss Prevention DLP'!F7:F200,"New")</f>
        <v/>
      </c>
      <c r="D38" s="11">
        <f>COUNTIF('05 Data Loss Prevention DLP'!F7:F200,"Revised")</f>
        <v/>
      </c>
      <c r="E38" s="12">
        <f>SUM('05 Data Loss Prevention DLP'!C7:C200)</f>
        <v/>
      </c>
    </row>
    <row r="39">
      <c r="A39" s="11" t="inlineStr">
        <is>
          <t>06 SASE SSE CASB</t>
        </is>
      </c>
      <c r="B39" s="11">
        <f>COUNT('06 SASE SSE CASB'!C7:C200)</f>
        <v/>
      </c>
      <c r="C39" s="11">
        <f>COUNTIF('06 SASE SSE CASB'!F7:F200,"New")</f>
        <v/>
      </c>
      <c r="D39" s="11">
        <f>COUNTIF('06 SASE SSE CASB'!F7:F200,"Revised")</f>
        <v/>
      </c>
      <c r="E39" s="12">
        <f>SUM('06 SASE SSE CASB'!C7:C200)</f>
        <v/>
      </c>
    </row>
    <row r="40">
      <c r="A40" s="11" t="inlineStr">
        <is>
          <t>07 SIEM SOAR MDR</t>
        </is>
      </c>
      <c r="B40" s="11">
        <f>COUNT('07 SIEM SOAR MDR'!C7:C200)</f>
        <v/>
      </c>
      <c r="C40" s="11">
        <f>COUNTIF('07 SIEM SOAR MDR'!F7:F200,"New")</f>
        <v/>
      </c>
      <c r="D40" s="11">
        <f>COUNTIF('07 SIEM SOAR MDR'!F7:F200,"Revised")</f>
        <v/>
      </c>
      <c r="E40" s="12">
        <f>SUM('07 SIEM SOAR MDR'!C7:C200)</f>
        <v/>
      </c>
    </row>
    <row r="41">
      <c r="A41" s="11" t="inlineStr">
        <is>
          <t>08 Pen Testing &amp; VulnMgmt</t>
        </is>
      </c>
      <c r="B41" s="11">
        <f>COUNT('08 Pen Testing &amp; VulnMgmt'!C7:C200)</f>
        <v/>
      </c>
      <c r="C41" s="11">
        <f>COUNTIF('08 Pen Testing &amp; VulnMgmt'!F7:F200,"New")</f>
        <v/>
      </c>
      <c r="D41" s="11">
        <f>COUNTIF('08 Pen Testing &amp; VulnMgmt'!F7:F200,"Revised")</f>
        <v/>
      </c>
      <c r="E41" s="12">
        <f>SUM('08 Pen Testing &amp; VulnMgmt'!C7:C200)</f>
        <v/>
      </c>
    </row>
    <row r="42">
      <c r="A42" s="11" t="inlineStr">
        <is>
          <t>09 Vendor Scorecard</t>
        </is>
      </c>
      <c r="B42" s="11">
        <f>COUNT('09 Vendor Scorecard'!C7:C200)</f>
        <v/>
      </c>
      <c r="C42" s="11">
        <f>COUNTIF('09 Vendor Scorecard'!F7:F200,"New")</f>
        <v/>
      </c>
      <c r="D42" s="11">
        <f>COUNTIF('09 Vendor Scorecard'!F7:F200,"Revised")</f>
        <v/>
      </c>
      <c r="E42" s="12">
        <f>SUM('09 Vendor Scorecard'!C7:C200)</f>
        <v/>
      </c>
    </row>
    <row r="43">
      <c r="A43" s="11" t="inlineStr">
        <is>
          <t>10 Implementation Roadmap</t>
        </is>
      </c>
      <c r="B43" s="11">
        <f>COUNT('10 Implementation Roadmap'!C7:C200)</f>
        <v/>
      </c>
      <c r="C43" s="11">
        <f>COUNTIF('10 Implementation Roadmap'!F7:F200,"New")</f>
        <v/>
      </c>
      <c r="D43" s="11">
        <f>COUNTIF('10 Implementation Roadmap'!F7:F200,"Revised")</f>
        <v/>
      </c>
      <c r="E43" s="12">
        <f>SUM('10 Implementation Roadmap'!C7:C200)</f>
        <v/>
      </c>
    </row>
    <row r="44">
      <c r="A44" s="13" t="inlineStr">
        <is>
          <t>TOTAL</t>
        </is>
      </c>
      <c r="B44" s="13">
        <f>SUM(B34:B43)</f>
        <v/>
      </c>
      <c r="C44" s="13">
        <f>SUM(C34:C43)</f>
        <v/>
      </c>
      <c r="D44" s="13">
        <f>SUM(D34:D43)</f>
        <v/>
      </c>
      <c r="E44" s="14">
        <f>SUM(E34:E43)</f>
        <v/>
      </c>
    </row>
  </sheetData>
  <mergeCells count="23">
    <mergeCell ref="A8:D8"/>
    <mergeCell ref="B23:D23"/>
    <mergeCell ref="B17:D17"/>
    <mergeCell ref="B29:D29"/>
    <mergeCell ref="A10:D10"/>
    <mergeCell ref="B28:D28"/>
    <mergeCell ref="A9:D9"/>
    <mergeCell ref="B19:D19"/>
    <mergeCell ref="B30:D30"/>
    <mergeCell ref="A11:D11"/>
    <mergeCell ref="B15:D15"/>
    <mergeCell ref="B20:D20"/>
    <mergeCell ref="A1:D1"/>
    <mergeCell ref="A6:D6"/>
    <mergeCell ref="B26:D26"/>
    <mergeCell ref="A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01 Cybersecurity Overview</t>
        </is>
      </c>
    </row>
    <row r="2">
      <c r="A2" s="4" t="inlineStr">
        <is>
          <t>URL:  https://artiflexit.com/cybersecurity-solutions</t>
        </is>
      </c>
    </row>
    <row r="3">
      <c r="A3" s="2" t="inlineStr">
        <is>
          <t>Meta Title (revised):  Cyber Security for Business 2026 | Artiflex IT UAE</t>
        </is>
      </c>
    </row>
    <row r="4">
      <c r="A4" s="2" t="inlineStr">
        <is>
          <t>Meta Description:  Protect your business with proven cybersecurity best practices — firewalls, EDR, email, DLP, SIEM. Free UAE assessment.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cyber security for business</t>
        </is>
      </c>
      <c r="B7" s="17" t="inlineStr">
        <is>
          <t>Primary</t>
        </is>
      </c>
      <c r="C7" s="18" t="n">
        <v>3600</v>
      </c>
      <c r="D7" s="17" t="inlineStr">
        <is>
          <t>Commercial</t>
        </is>
      </c>
      <c r="E7" s="17" t="inlineStr">
        <is>
          <t>Hard</t>
        </is>
      </c>
      <c r="F7" s="19" t="inlineStr">
        <is>
          <t>Existing</t>
        </is>
      </c>
      <c r="G7" s="17" t="inlineStr">
        <is>
          <t>H1, Meta Title, URL, intro</t>
        </is>
      </c>
      <c r="H7" s="17" t="inlineStr">
        <is>
          <t>Anchor of the pillar; keep front-and-centre.</t>
        </is>
      </c>
    </row>
    <row r="8">
      <c r="A8" s="17" t="inlineStr">
        <is>
          <t>cybersecurity solutions</t>
        </is>
      </c>
      <c r="B8" s="17" t="inlineStr">
        <is>
          <t>Secondary</t>
        </is>
      </c>
      <c r="C8" s="18" t="n">
        <v>6600</v>
      </c>
      <c r="D8" s="17" t="inlineStr">
        <is>
          <t>Commercial</t>
        </is>
      </c>
      <c r="E8" s="17" t="inlineStr">
        <is>
          <t>Hard</t>
        </is>
      </c>
      <c r="F8" s="19" t="inlineStr">
        <is>
          <t>Existing</t>
        </is>
      </c>
      <c r="G8" s="17" t="inlineStr">
        <is>
          <t>H2, body, meta description</t>
        </is>
      </c>
      <c r="H8" s="17" t="inlineStr">
        <is>
          <t>High volume — repeat 4–6x in body.</t>
        </is>
      </c>
    </row>
    <row r="9">
      <c r="A9" s="17" t="inlineStr">
        <is>
          <t>cybersecurity best practices</t>
        </is>
      </c>
      <c r="B9" s="17" t="inlineStr">
        <is>
          <t>Secondary</t>
        </is>
      </c>
      <c r="C9" s="18" t="n">
        <v>2900</v>
      </c>
      <c r="D9" s="17" t="inlineStr">
        <is>
          <t>Informational</t>
        </is>
      </c>
      <c r="E9" s="17" t="inlineStr">
        <is>
          <t>Moderate</t>
        </is>
      </c>
      <c r="F9" s="19" t="inlineStr">
        <is>
          <t>Existing</t>
        </is>
      </c>
      <c r="G9" s="17" t="inlineStr">
        <is>
          <t>H2, list intro, lead magnet CTA</t>
        </is>
      </c>
      <c r="H9" s="17" t="inlineStr">
        <is>
          <t>Pairs well with the essentials checklist CTA.</t>
        </is>
      </c>
    </row>
    <row r="10">
      <c r="A10" s="17" t="inlineStr">
        <is>
          <t>types of cybersecurity</t>
        </is>
      </c>
      <c r="B10" s="17" t="inlineStr">
        <is>
          <t>Long-tail</t>
        </is>
      </c>
      <c r="C10" s="18" t="n">
        <v>3600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 (7 pillars table)</t>
        </is>
      </c>
      <c r="H10" s="17" t="inlineStr">
        <is>
          <t>Matches the numbered solution-area table.</t>
        </is>
      </c>
    </row>
    <row r="11">
      <c r="A11" s="17" t="inlineStr">
        <is>
          <t>importance of cybersecurity</t>
        </is>
      </c>
      <c r="B11" s="17" t="inlineStr">
        <is>
          <t>Long-tail</t>
        </is>
      </c>
      <c r="C11" s="18" t="n">
        <v>2900</v>
      </c>
      <c r="D11" s="17" t="inlineStr">
        <is>
          <t>Informational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H2 (business cost section)</t>
        </is>
      </c>
      <c r="H11" s="17" t="inlineStr">
        <is>
          <t>Natural fit for the $4.88M breach stat.</t>
        </is>
      </c>
    </row>
    <row r="12">
      <c r="A12" s="17" t="inlineStr">
        <is>
          <t>cybersecurity framework</t>
        </is>
      </c>
      <c r="B12" s="17" t="inlineStr">
        <is>
          <t>Long-tail</t>
        </is>
      </c>
      <c r="C12" s="18" t="n">
        <v>2400</v>
      </c>
      <c r="D12" s="17" t="inlineStr">
        <is>
          <t>Informational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H2 (phased approach)</t>
        </is>
      </c>
      <c r="H12" s="17" t="inlineStr">
        <is>
          <t>Tie to NIST 5 functions.</t>
        </is>
      </c>
    </row>
    <row r="13">
      <c r="A13" s="17" t="inlineStr">
        <is>
          <t>cybersecurity strategy</t>
        </is>
      </c>
      <c r="B13" s="17" t="inlineStr">
        <is>
          <t>Long-tail</t>
        </is>
      </c>
      <c r="C13" s="18" t="n">
        <v>2400</v>
      </c>
      <c r="D13" s="17" t="inlineStr">
        <is>
          <t>Commercial</t>
        </is>
      </c>
      <c r="E13" s="17" t="inlineStr">
        <is>
          <t>Moderate</t>
        </is>
      </c>
      <c r="F13" s="19" t="inlineStr">
        <is>
          <t>Existing</t>
        </is>
      </c>
      <c r="G13" s="17" t="inlineStr">
        <is>
          <t>H2, closing paragraph</t>
        </is>
      </c>
      <c r="H13" s="17" t="inlineStr">
        <is>
          <t>Also used on page 10.</t>
        </is>
      </c>
    </row>
    <row r="14">
      <c r="A14" s="17" t="inlineStr">
        <is>
          <t>managed cybersecurity services</t>
        </is>
      </c>
      <c r="B14" s="17" t="inlineStr">
        <is>
          <t>Long-tail</t>
        </is>
      </c>
      <c r="C14" s="18" t="n">
        <v>1900</v>
      </c>
      <c r="D14" s="17" t="inlineStr">
        <is>
          <t>Commercial</t>
        </is>
      </c>
      <c r="E14" s="17" t="inlineStr">
        <is>
          <t>Moderate</t>
        </is>
      </c>
      <c r="F14" s="19" t="inlineStr">
        <is>
          <t>Existing</t>
        </is>
      </c>
      <c r="G14" s="17" t="inlineStr">
        <is>
          <t>H2 (why MSS makes sense)</t>
        </is>
      </c>
      <c r="H14" s="17" t="inlineStr">
        <is>
          <t>Strong conversion keyword.</t>
        </is>
      </c>
    </row>
    <row r="15">
      <c r="A15" s="17" t="inlineStr">
        <is>
          <t>cybersecurity consulting services</t>
        </is>
      </c>
      <c r="B15" s="17" t="inlineStr">
        <is>
          <t>Long-tail</t>
        </is>
      </c>
      <c r="C15" s="18" t="n">
        <v>1300</v>
      </c>
      <c r="D15" s="17" t="inlineStr">
        <is>
          <t>Commercial</t>
        </is>
      </c>
      <c r="E15" s="17" t="inlineStr">
        <is>
          <t>Moderate</t>
        </is>
      </c>
      <c r="F15" s="19" t="inlineStr">
        <is>
          <t>Existing</t>
        </is>
      </c>
      <c r="G15" s="17" t="inlineStr">
        <is>
          <t>Body, CTA</t>
        </is>
      </c>
      <c r="H15" s="17" t="inlineStr">
        <is>
          <t>Good match for the 30-min free call.</t>
        </is>
      </c>
    </row>
    <row r="16">
      <c r="A16" s="17" t="inlineStr">
        <is>
          <t>enterprise cybersecurity</t>
        </is>
      </c>
      <c r="B16" s="17" t="inlineStr">
        <is>
          <t>Long-tail</t>
        </is>
      </c>
      <c r="C16" s="18" t="n">
        <v>1300</v>
      </c>
      <c r="D16" s="17" t="inlineStr">
        <is>
          <t>Commercial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Body, comparison table</t>
        </is>
      </c>
      <c r="H16" s="17" t="inlineStr"/>
    </row>
    <row r="17">
      <c r="A17" s="17" t="inlineStr">
        <is>
          <t>cybersecurity assessment</t>
        </is>
      </c>
      <c r="B17" s="17" t="inlineStr">
        <is>
          <t>Long-tail</t>
        </is>
      </c>
      <c r="C17" s="18" t="n">
        <v>1000</v>
      </c>
      <c r="D17" s="17" t="inlineStr">
        <is>
          <t>Transactional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CTA, meta description</t>
        </is>
      </c>
      <c r="H17" s="17" t="inlineStr">
        <is>
          <t>Primary CTA already aligned.</t>
        </is>
      </c>
    </row>
    <row r="18">
      <c r="A18" s="17" t="inlineStr">
        <is>
          <t>cybersecurity for small business</t>
        </is>
      </c>
      <c r="B18" s="17" t="inlineStr">
        <is>
          <t>Long-tail</t>
        </is>
      </c>
      <c r="C18" s="18" t="n">
        <v>880</v>
      </c>
      <c r="D18" s="17" t="inlineStr">
        <is>
          <t>Commercial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H3, SMB paragraph</t>
        </is>
      </c>
      <c r="H18" s="17" t="inlineStr"/>
    </row>
    <row r="19">
      <c r="A19" s="17" t="inlineStr">
        <is>
          <t>cybersecurity plan</t>
        </is>
      </c>
      <c r="B19" s="17" t="inlineStr">
        <is>
          <t>Long-tail</t>
        </is>
      </c>
      <c r="C19" s="18" t="n">
        <v>1900</v>
      </c>
      <c r="D19" s="17" t="inlineStr">
        <is>
          <t>Informational</t>
        </is>
      </c>
      <c r="E19" s="17" t="inlineStr">
        <is>
          <t>Moderate</t>
        </is>
      </c>
      <c r="F19" s="20" t="inlineStr">
        <is>
          <t>Revised</t>
        </is>
      </c>
      <c r="G19" s="17" t="inlineStr">
        <is>
          <t>Internal link anchor to page 10</t>
        </is>
      </c>
      <c r="H19" s="17" t="inlineStr">
        <is>
          <t>Avoid cannibalisation with page 10 — link out, don't compete.</t>
        </is>
      </c>
    </row>
    <row r="20">
      <c r="A20" s="17" t="inlineStr">
        <is>
          <t>cybersecurity risk</t>
        </is>
      </c>
      <c r="B20" s="17" t="inlineStr">
        <is>
          <t>Long-tail</t>
        </is>
      </c>
      <c r="C20" s="18" t="n">
        <v>2900</v>
      </c>
      <c r="D20" s="17" t="inlineStr">
        <is>
          <t>Informational</t>
        </is>
      </c>
      <c r="E20" s="17" t="inlineStr">
        <is>
          <t>Moderate</t>
        </is>
      </c>
      <c r="F20" s="19" t="inlineStr">
        <is>
          <t>Existing</t>
        </is>
      </c>
      <c r="G20" s="17" t="inlineStr">
        <is>
          <t>Body</t>
        </is>
      </c>
      <c r="H20" s="17" t="inlineStr"/>
    </row>
    <row r="21">
      <c r="A21" s="17" t="inlineStr">
        <is>
          <t>what is cyber security</t>
        </is>
      </c>
      <c r="B21" s="17" t="inlineStr">
        <is>
          <t>Long-tail</t>
        </is>
      </c>
      <c r="C21" s="18" t="n">
        <v>9900</v>
      </c>
      <c r="D21" s="17" t="inlineStr">
        <is>
          <t>Informational</t>
        </is>
      </c>
      <c r="E21" s="17" t="inlineStr">
        <is>
          <t>Hard</t>
        </is>
      </c>
      <c r="F21" s="20" t="inlineStr">
        <is>
          <t>Revised</t>
        </is>
      </c>
      <c r="G21" s="17" t="inlineStr">
        <is>
          <t>FAQ block (new)</t>
        </is>
      </c>
      <c r="H21" s="17" t="inlineStr">
        <is>
          <t>Move from implicit to explicit FAQ for PAA capture.</t>
        </is>
      </c>
    </row>
    <row r="22">
      <c r="A22" s="17" t="inlineStr">
        <is>
          <t>cybersecurity services UAE</t>
        </is>
      </c>
      <c r="B22" s="17" t="inlineStr">
        <is>
          <t>Geo</t>
        </is>
      </c>
      <c r="C22" s="18" t="n">
        <v>480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H2, meta description, LocalBusiness</t>
        </is>
      </c>
      <c r="H22" s="17" t="inlineStr">
        <is>
          <t>Highest-priority geo add — audit flagged zero geo targeting.</t>
        </is>
      </c>
    </row>
    <row r="23">
      <c r="A23" s="17" t="inlineStr">
        <is>
          <t>cybersecurity company Dubai</t>
        </is>
      </c>
      <c r="B23" s="17" t="inlineStr">
        <is>
          <t>Geo</t>
        </is>
      </c>
      <c r="C23" s="18" t="n">
        <v>590</v>
      </c>
      <c r="D23" s="17" t="inlineStr">
        <is>
          <t>Commercial</t>
        </is>
      </c>
      <c r="E23" s="17" t="inlineStr">
        <is>
          <t>Moderate</t>
        </is>
      </c>
      <c r="F23" s="21" t="inlineStr">
        <is>
          <t>New</t>
        </is>
      </c>
      <c r="G23" s="17" t="inlineStr">
        <is>
          <t>H1 subtitle, footer, schema</t>
        </is>
      </c>
      <c r="H23" s="17" t="inlineStr">
        <is>
          <t>Dubai = primary commercial market.</t>
        </is>
      </c>
    </row>
    <row r="24">
      <c r="A24" s="17" t="inlineStr">
        <is>
          <t>cyber security company Abu Dhabi</t>
        </is>
      </c>
      <c r="B24" s="17" t="inlineStr">
        <is>
          <t>Geo</t>
        </is>
      </c>
      <c r="C24" s="18" t="n">
        <v>320</v>
      </c>
      <c r="D24" s="17" t="inlineStr">
        <is>
          <t>Commercial</t>
        </is>
      </c>
      <c r="E24" s="17" t="inlineStr">
        <is>
          <t>Moderate</t>
        </is>
      </c>
      <c r="F24" s="21" t="inlineStr">
        <is>
          <t>New</t>
        </is>
      </c>
      <c r="G24" s="17" t="inlineStr">
        <is>
          <t>H2, city page anchor</t>
        </is>
      </c>
      <c r="H24" s="17" t="inlineStr">
        <is>
          <t>Pair with NESA compliance.</t>
        </is>
      </c>
    </row>
    <row r="25">
      <c r="A25" s="17" t="inlineStr">
        <is>
          <t>cybersecurity services GCC</t>
        </is>
      </c>
      <c r="B25" s="17" t="inlineStr">
        <is>
          <t>Geo</t>
        </is>
      </c>
      <c r="C25" s="18" t="n">
        <v>210</v>
      </c>
      <c r="D25" s="17" t="inlineStr">
        <is>
          <t>Commercial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Body, footer</t>
        </is>
      </c>
      <c r="H25" s="17" t="inlineStr">
        <is>
          <t>Catch Saudi/Qatar/Kuwait queries.</t>
        </is>
      </c>
    </row>
    <row r="26">
      <c r="A26" s="17" t="inlineStr">
        <is>
          <t>cybersecurity services Saudi Arabia</t>
        </is>
      </c>
      <c r="B26" s="17" t="inlineStr">
        <is>
          <t>Geo</t>
        </is>
      </c>
      <c r="C26" s="18" t="n">
        <v>260</v>
      </c>
      <c r="D26" s="17" t="inlineStr">
        <is>
          <t>Commercial</t>
        </is>
      </c>
      <c r="E26" s="17" t="inlineStr">
        <is>
          <t>Moderate</t>
        </is>
      </c>
      <c r="F26" s="21" t="inlineStr">
        <is>
          <t>New</t>
        </is>
      </c>
      <c r="G26" s="17" t="inlineStr">
        <is>
          <t>Body (SAMA paragraph)</t>
        </is>
      </c>
      <c r="H26" s="17" t="inlineStr">
        <is>
          <t>Future market expansion.</t>
        </is>
      </c>
    </row>
    <row r="27">
      <c r="A27" s="17" t="inlineStr">
        <is>
          <t>NESA compliance services</t>
        </is>
      </c>
      <c r="B27" s="17" t="inlineStr">
        <is>
          <t>Compliance</t>
        </is>
      </c>
      <c r="C27" s="18" t="n">
        <v>140</v>
      </c>
      <c r="D27" s="17" t="inlineStr">
        <is>
          <t>Commercial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H3, meta description</t>
        </is>
      </c>
      <c r="H27" s="17" t="inlineStr">
        <is>
          <t>NESA = UAE national cyber authority.</t>
        </is>
      </c>
    </row>
    <row r="28">
      <c r="A28" s="17" t="inlineStr">
        <is>
          <t>SAMA cybersecurity framework</t>
        </is>
      </c>
      <c r="B28" s="17" t="inlineStr">
        <is>
          <t>Compliance</t>
        </is>
      </c>
      <c r="C28" s="18" t="n">
        <v>170</v>
      </c>
      <c r="D28" s="17" t="inlineStr">
        <is>
          <t>Commercial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H3 (compliance paragraph)</t>
        </is>
      </c>
      <c r="H28" s="17" t="inlineStr">
        <is>
          <t>Saudi Arabian Monetary Authority.</t>
        </is>
      </c>
    </row>
    <row r="29">
      <c r="A29" s="17" t="inlineStr">
        <is>
          <t>UAE PDPL compliance</t>
        </is>
      </c>
      <c r="B29" s="17" t="inlineStr">
        <is>
          <t>Compliance</t>
        </is>
      </c>
      <c r="C29" s="18" t="n">
        <v>110</v>
      </c>
      <c r="D29" s="17" t="inlineStr">
        <is>
          <t>Commercial</t>
        </is>
      </c>
      <c r="E29" s="17" t="inlineStr">
        <is>
          <t>Easy</t>
        </is>
      </c>
      <c r="F29" s="21" t="inlineStr">
        <is>
          <t>New</t>
        </is>
      </c>
      <c r="G29" s="17" t="inlineStr">
        <is>
          <t>Body, schema keywords</t>
        </is>
      </c>
      <c r="H29" s="17" t="inlineStr">
        <is>
          <t>UAE data protection law.</t>
        </is>
      </c>
    </row>
    <row r="30">
      <c r="A30" s="17" t="inlineStr">
        <is>
          <t>ISO 27001 consulting UAE</t>
        </is>
      </c>
      <c r="B30" s="17" t="inlineStr">
        <is>
          <t>Compliance</t>
        </is>
      </c>
      <c r="C30" s="18" t="n">
        <v>210</v>
      </c>
      <c r="D30" s="17" t="inlineStr">
        <is>
          <t>Commercial</t>
        </is>
      </c>
      <c r="E30" s="17" t="inlineStr">
        <is>
          <t>Moderate</t>
        </is>
      </c>
      <c r="F30" s="21" t="inlineStr">
        <is>
          <t>New</t>
        </is>
      </c>
      <c r="G30" s="17" t="inlineStr">
        <is>
          <t>Cross-link to compliance hub</t>
        </is>
      </c>
      <c r="H30" s="17" t="inlineStr"/>
    </row>
    <row r="31">
      <c r="A31" s="17" t="inlineStr">
        <is>
          <t>what is cybersecurity and why is it important</t>
        </is>
      </c>
      <c r="B31" s="17" t="inlineStr">
        <is>
          <t>Question</t>
        </is>
      </c>
      <c r="C31" s="18" t="n">
        <v>880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 block</t>
        </is>
      </c>
      <c r="H31" s="17" t="inlineStr">
        <is>
          <t>People-Also-Ask capture.</t>
        </is>
      </c>
    </row>
    <row r="32">
      <c r="A32" s="17" t="inlineStr">
        <is>
          <t>how much do cybersecurity services cost</t>
        </is>
      </c>
      <c r="B32" s="17" t="inlineStr">
        <is>
          <t>Question</t>
        </is>
      </c>
      <c r="C32" s="18" t="n">
        <v>210</v>
      </c>
      <c r="D32" s="17" t="inlineStr">
        <is>
          <t>Commercial</t>
        </is>
      </c>
      <c r="E32" s="17" t="inlineStr">
        <is>
          <t>Easy</t>
        </is>
      </c>
      <c r="F32" s="21" t="inlineStr">
        <is>
          <t>New</t>
        </is>
      </c>
      <c r="G32" s="17" t="inlineStr">
        <is>
          <t>FAQ block</t>
        </is>
      </c>
      <c r="H32" s="17" t="inlineStr">
        <is>
          <t>Drives toward assessment CTA.</t>
        </is>
      </c>
    </row>
    <row r="33">
      <c r="A33" s="17" t="inlineStr">
        <is>
          <t>how do I choose a cybersecurity provider</t>
        </is>
      </c>
      <c r="B33" s="17" t="inlineStr">
        <is>
          <t>Question</t>
        </is>
      </c>
      <c r="C33" s="18" t="n">
        <v>170</v>
      </c>
      <c r="D33" s="17" t="inlineStr">
        <is>
          <t>Commercial</t>
        </is>
      </c>
      <c r="E33" s="17" t="inlineStr">
        <is>
          <t>Easy</t>
        </is>
      </c>
      <c r="F33" s="21" t="inlineStr">
        <is>
          <t>New</t>
        </is>
      </c>
      <c r="G33" s="17" t="inlineStr">
        <is>
          <t>FAQ block</t>
        </is>
      </c>
      <c r="H33" s="17" t="inlineStr">
        <is>
          <t>Internal link to vendor scorecard.</t>
        </is>
      </c>
    </row>
    <row r="35">
      <c r="A35" s="4" t="inlineStr">
        <is>
          <t>Total keywords:</t>
        </is>
      </c>
      <c r="B35" s="4">
        <f>COUNT(C7:C33)</f>
        <v/>
      </c>
    </row>
    <row r="36">
      <c r="A36" s="4" t="inlineStr">
        <is>
          <t>New keywords:</t>
        </is>
      </c>
      <c r="B36" s="4">
        <f>COUNTIF(F7:F33,"New")</f>
        <v/>
      </c>
    </row>
    <row r="37">
      <c r="A37" s="4" t="inlineStr">
        <is>
          <t>Revised keywords:</t>
        </is>
      </c>
      <c r="B37" s="4">
        <f>COUNTIF(F7:F33,"Revised")</f>
        <v/>
      </c>
    </row>
    <row r="38">
      <c r="A38" s="4" t="inlineStr">
        <is>
          <t>Total est. monthly volume:</t>
        </is>
      </c>
      <c r="B38" s="22">
        <f>SUM(C7:C33)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02 Firewalls &amp; Network Sec</t>
        </is>
      </c>
    </row>
    <row r="2">
      <c r="A2" s="4" t="inlineStr">
        <is>
          <t>URL:  https://artiflexit.com/cybersecurity/firewalls-network-security</t>
        </is>
      </c>
    </row>
    <row r="3">
      <c r="A3" s="2" t="inlineStr">
        <is>
          <t>Meta Title (revised):  Firewall Solutions UAE 2026 | NGFW &amp; Managed Firewall | Artiflex IT</t>
        </is>
      </c>
    </row>
    <row r="4">
      <c r="A4" s="2" t="inlineStr">
        <is>
          <t>Meta Description:  Compare NGFW, UTM &amp; managed firewalls for UAE enterprises. Fortinet, Palo Alto, Sophos. Free network assessment.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network security firewall</t>
        </is>
      </c>
      <c r="B7" s="17" t="inlineStr">
        <is>
          <t>Primary</t>
        </is>
      </c>
      <c r="C7" s="18" t="n">
        <v>1600</v>
      </c>
      <c r="D7" s="17" t="inlineStr">
        <is>
          <t>Commercial</t>
        </is>
      </c>
      <c r="E7" s="17" t="inlineStr">
        <is>
          <t>Hard</t>
        </is>
      </c>
      <c r="F7" s="19" t="inlineStr">
        <is>
          <t>Existing</t>
        </is>
      </c>
      <c r="G7" s="17" t="inlineStr">
        <is>
          <t>H1, Meta Title, URL, intro</t>
        </is>
      </c>
      <c r="H7" s="17" t="inlineStr"/>
    </row>
    <row r="8">
      <c r="A8" s="17" t="inlineStr">
        <is>
          <t>network security</t>
        </is>
      </c>
      <c r="B8" s="17" t="inlineStr">
        <is>
          <t>Secondary</t>
        </is>
      </c>
      <c r="C8" s="18" t="n">
        <v>8100</v>
      </c>
      <c r="D8" s="17" t="inlineStr">
        <is>
          <t>Informational</t>
        </is>
      </c>
      <c r="E8" s="17" t="inlineStr">
        <is>
          <t>Hard</t>
        </is>
      </c>
      <c r="F8" s="19" t="inlineStr">
        <is>
          <t>Existing</t>
        </is>
      </c>
      <c r="G8" s="17" t="inlineStr">
        <is>
          <t>H2, body, meta</t>
        </is>
      </c>
      <c r="H8" s="17" t="inlineStr">
        <is>
          <t>High volume; repeat 4x.</t>
        </is>
      </c>
    </row>
    <row r="9">
      <c r="A9" s="17" t="inlineStr">
        <is>
          <t>best firewall for enterprise network</t>
        </is>
      </c>
      <c r="B9" s="17" t="inlineStr">
        <is>
          <t>Secondary</t>
        </is>
      </c>
      <c r="C9" s="18" t="n">
        <v>880</v>
      </c>
      <c r="D9" s="17" t="inlineStr">
        <is>
          <t>Commercial</t>
        </is>
      </c>
      <c r="E9" s="17" t="inlineStr">
        <is>
          <t>Moderate</t>
        </is>
      </c>
      <c r="F9" s="19" t="inlineStr">
        <is>
          <t>Existing</t>
        </is>
      </c>
      <c r="G9" s="17" t="inlineStr">
        <is>
          <t>H2 (vendor comparison)</t>
        </is>
      </c>
      <c r="H9" s="17" t="inlineStr">
        <is>
          <t>Primary commercial term.</t>
        </is>
      </c>
    </row>
    <row r="10">
      <c r="A10" s="17" t="inlineStr">
        <is>
          <t>next generation firewall</t>
        </is>
      </c>
      <c r="B10" s="17" t="inlineStr">
        <is>
          <t>Long-tail</t>
        </is>
      </c>
      <c r="C10" s="18" t="n">
        <v>2400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 (evolution section)</t>
        </is>
      </c>
      <c r="H10" s="17" t="inlineStr">
        <is>
          <t>Also NGFW acronym in parens.</t>
        </is>
      </c>
    </row>
    <row r="11">
      <c r="A11" s="17" t="inlineStr">
        <is>
          <t>intrusion detection system</t>
        </is>
      </c>
      <c r="B11" s="17" t="inlineStr">
        <is>
          <t>Long-tail</t>
        </is>
      </c>
      <c r="C11" s="18" t="n">
        <v>2400</v>
      </c>
      <c r="D11" s="17" t="inlineStr">
        <is>
          <t>Informational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H3 (IDS/IPS paragraph)</t>
        </is>
      </c>
      <c r="H11" s="17" t="inlineStr"/>
    </row>
    <row r="12">
      <c r="A12" s="17" t="inlineStr">
        <is>
          <t>network security tools</t>
        </is>
      </c>
      <c r="B12" s="17" t="inlineStr">
        <is>
          <t>Long-tail</t>
        </is>
      </c>
      <c r="C12" s="18" t="n">
        <v>4400</v>
      </c>
      <c r="D12" s="17" t="inlineStr">
        <is>
          <t>Informational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Body (types section)</t>
        </is>
      </c>
      <c r="H12" s="17" t="inlineStr"/>
    </row>
    <row r="13">
      <c r="A13" s="17" t="inlineStr">
        <is>
          <t>managed firewall services</t>
        </is>
      </c>
      <c r="B13" s="17" t="inlineStr">
        <is>
          <t>Long-tail</t>
        </is>
      </c>
      <c r="C13" s="18" t="n">
        <v>720</v>
      </c>
      <c r="D13" s="17" t="inlineStr">
        <is>
          <t>Commercial</t>
        </is>
      </c>
      <c r="E13" s="17" t="inlineStr">
        <is>
          <t>Moderate</t>
        </is>
      </c>
      <c r="F13" s="19" t="inlineStr">
        <is>
          <t>Existing</t>
        </is>
      </c>
      <c r="G13" s="17" t="inlineStr">
        <is>
          <t>H2 (managed services section)</t>
        </is>
      </c>
      <c r="H13" s="17" t="inlineStr">
        <is>
          <t>Strong commercial intent.</t>
        </is>
      </c>
    </row>
    <row r="14">
      <c r="A14" s="17" t="inlineStr">
        <is>
          <t>firewall security solutions</t>
        </is>
      </c>
      <c r="B14" s="17" t="inlineStr">
        <is>
          <t>Long-tail</t>
        </is>
      </c>
      <c r="C14" s="18" t="n">
        <v>720</v>
      </c>
      <c r="D14" s="17" t="inlineStr">
        <is>
          <t>Commercial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Body</t>
        </is>
      </c>
      <c r="H14" s="17" t="inlineStr"/>
    </row>
    <row r="15">
      <c r="A15" s="17" t="inlineStr">
        <is>
          <t>network segmentation security</t>
        </is>
      </c>
      <c r="B15" s="17" t="inlineStr">
        <is>
          <t>Long-tail</t>
        </is>
      </c>
      <c r="C15" s="18" t="n">
        <v>590</v>
      </c>
      <c r="D15" s="17" t="inlineStr">
        <is>
          <t>Informational</t>
        </is>
      </c>
      <c r="E15" s="17" t="inlineStr">
        <is>
          <t>Easy</t>
        </is>
      </c>
      <c r="F15" s="19" t="inlineStr">
        <is>
          <t>Existing</t>
        </is>
      </c>
      <c r="G15" s="17" t="inlineStr">
        <is>
          <t>H2 (segmentation section)</t>
        </is>
      </c>
      <c r="H15" s="17" t="inlineStr"/>
    </row>
    <row r="16">
      <c r="A16" s="17" t="inlineStr">
        <is>
          <t>network security assessment</t>
        </is>
      </c>
      <c r="B16" s="17" t="inlineStr">
        <is>
          <t>Long-tail</t>
        </is>
      </c>
      <c r="C16" s="18" t="n">
        <v>590</v>
      </c>
      <c r="D16" s="17" t="inlineStr">
        <is>
          <t>Transactional</t>
        </is>
      </c>
      <c r="E16" s="17" t="inlineStr">
        <is>
          <t>Easy</t>
        </is>
      </c>
      <c r="F16" s="19" t="inlineStr">
        <is>
          <t>Existing</t>
        </is>
      </c>
      <c r="G16" s="17" t="inlineStr">
        <is>
          <t>Primary CTA</t>
        </is>
      </c>
      <c r="H16" s="17" t="inlineStr">
        <is>
          <t>Matches 'Request a free audit'.</t>
        </is>
      </c>
    </row>
    <row r="17">
      <c r="A17" s="17" t="inlineStr">
        <is>
          <t>enterprise network security solutions</t>
        </is>
      </c>
      <c r="B17" s="17" t="inlineStr">
        <is>
          <t>Long-tail</t>
        </is>
      </c>
      <c r="C17" s="18" t="n">
        <v>480</v>
      </c>
      <c r="D17" s="17" t="inlineStr">
        <is>
          <t>Commercial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Body</t>
        </is>
      </c>
      <c r="H17" s="17" t="inlineStr"/>
    </row>
    <row r="18">
      <c r="A18" s="17" t="inlineStr">
        <is>
          <t>firewall vs UTM</t>
        </is>
      </c>
      <c r="B18" s="17" t="inlineStr">
        <is>
          <t>Long-tail</t>
        </is>
      </c>
      <c r="C18" s="18" t="n">
        <v>480</v>
      </c>
      <c r="D18" s="17" t="inlineStr">
        <is>
          <t>Informational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H3, comparison callout</t>
        </is>
      </c>
      <c r="H18" s="17" t="inlineStr"/>
    </row>
    <row r="19">
      <c r="A19" s="17" t="inlineStr">
        <is>
          <t>how to secure a business network</t>
        </is>
      </c>
      <c r="B19" s="17" t="inlineStr">
        <is>
          <t>Long-tail</t>
        </is>
      </c>
      <c r="C19" s="18" t="n">
        <v>390</v>
      </c>
      <c r="D19" s="17" t="inlineStr">
        <is>
          <t>Informational</t>
        </is>
      </c>
      <c r="E19" s="17" t="inlineStr">
        <is>
          <t>Easy</t>
        </is>
      </c>
      <c r="F19" s="19" t="inlineStr">
        <is>
          <t>Existing</t>
        </is>
      </c>
      <c r="G19" s="17" t="inlineStr">
        <is>
          <t>H2 (closing paragraph)</t>
        </is>
      </c>
      <c r="H19" s="17" t="inlineStr"/>
    </row>
    <row r="20">
      <c r="A20" s="17" t="inlineStr">
        <is>
          <t>firewall installation Dubai</t>
        </is>
      </c>
      <c r="B20" s="17" t="inlineStr">
        <is>
          <t>Geo</t>
        </is>
      </c>
      <c r="C20" s="18" t="n">
        <v>260</v>
      </c>
      <c r="D20" s="17" t="inlineStr">
        <is>
          <t>Transactional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Meta description, CTA block</t>
        </is>
      </c>
      <c r="H20" s="17" t="inlineStr">
        <is>
          <t>High-intent local query.</t>
        </is>
      </c>
    </row>
    <row r="21">
      <c r="A21" s="17" t="inlineStr">
        <is>
          <t>firewall services UAE</t>
        </is>
      </c>
      <c r="B21" s="17" t="inlineStr">
        <is>
          <t>Geo</t>
        </is>
      </c>
      <c r="C21" s="18" t="n">
        <v>320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H2, body</t>
        </is>
      </c>
      <c r="H21" s="17" t="inlineStr"/>
    </row>
    <row r="22">
      <c r="A22" s="17" t="inlineStr">
        <is>
          <t>Fortinet partner UAE</t>
        </is>
      </c>
      <c r="B22" s="17" t="inlineStr">
        <is>
          <t>Partner</t>
        </is>
      </c>
      <c r="C22" s="18" t="n">
        <v>170</v>
      </c>
      <c r="D22" s="17" t="inlineStr">
        <is>
          <t>Transactional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Body (vendor comparison)</t>
        </is>
      </c>
      <c r="H22" s="17" t="inlineStr">
        <is>
          <t>Confirm partner tier before publishing.</t>
        </is>
      </c>
    </row>
    <row r="23">
      <c r="A23" s="17" t="inlineStr">
        <is>
          <t>Palo Alto Networks partner Dubai</t>
        </is>
      </c>
      <c r="B23" s="17" t="inlineStr">
        <is>
          <t>Partner</t>
        </is>
      </c>
      <c r="C23" s="18" t="n">
        <v>110</v>
      </c>
      <c r="D23" s="17" t="inlineStr">
        <is>
          <t>Transactional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Body</t>
        </is>
      </c>
      <c r="H23" s="17" t="inlineStr">
        <is>
          <t>Validate relationship.</t>
        </is>
      </c>
    </row>
    <row r="24">
      <c r="A24" s="17" t="inlineStr">
        <is>
          <t>Sophos partner UAE</t>
        </is>
      </c>
      <c r="B24" s="17" t="inlineStr">
        <is>
          <t>Partner</t>
        </is>
      </c>
      <c r="C24" s="18" t="n">
        <v>90</v>
      </c>
      <c r="D24" s="17" t="inlineStr">
        <is>
          <t>Transactional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Body</t>
        </is>
      </c>
      <c r="H24" s="17" t="inlineStr"/>
    </row>
    <row r="25">
      <c r="A25" s="17" t="inlineStr">
        <is>
          <t>managed firewall services UAE</t>
        </is>
      </c>
      <c r="B25" s="17" t="inlineStr">
        <is>
          <t>Geo</t>
        </is>
      </c>
      <c r="C25" s="18" t="n">
        <v>140</v>
      </c>
      <c r="D25" s="17" t="inlineStr">
        <is>
          <t>Commercial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H2, meta description</t>
        </is>
      </c>
      <c r="H25" s="17" t="inlineStr">
        <is>
          <t>High-converting long-tail.</t>
        </is>
      </c>
    </row>
    <row r="26">
      <c r="A26" s="17" t="inlineStr">
        <is>
          <t>Fortinet vs Palo Alto firewall</t>
        </is>
      </c>
      <c r="B26" s="17" t="inlineStr">
        <is>
          <t>Comparison</t>
        </is>
      </c>
      <c r="C26" s="18" t="n">
        <v>720</v>
      </c>
      <c r="D26" s="17" t="inlineStr">
        <is>
          <t>Informational</t>
        </is>
      </c>
      <c r="E26" s="17" t="inlineStr">
        <is>
          <t>Moderate</t>
        </is>
      </c>
      <c r="F26" s="21" t="inlineStr">
        <is>
          <t>New</t>
        </is>
      </c>
      <c r="G26" s="17" t="inlineStr">
        <is>
          <t>H3 comparison block, FAQ</t>
        </is>
      </c>
      <c r="H26" s="17" t="inlineStr">
        <is>
          <t>Directly answers a common PAA question.</t>
        </is>
      </c>
    </row>
    <row r="27">
      <c r="A27" s="17" t="inlineStr">
        <is>
          <t>Sophos vs Fortinet</t>
        </is>
      </c>
      <c r="B27" s="17" t="inlineStr">
        <is>
          <t>Comparison</t>
        </is>
      </c>
      <c r="C27" s="18" t="n">
        <v>390</v>
      </c>
      <c r="D27" s="17" t="inlineStr">
        <is>
          <t>Informational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H3 comparison block</t>
        </is>
      </c>
      <c r="H27" s="17" t="inlineStr"/>
    </row>
    <row r="28">
      <c r="A28" s="17" t="inlineStr">
        <is>
          <t>Check Point vs Palo Alto</t>
        </is>
      </c>
      <c r="B28" s="17" t="inlineStr">
        <is>
          <t>Comparison</t>
        </is>
      </c>
      <c r="C28" s="18" t="n">
        <v>260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H3 comparison block</t>
        </is>
      </c>
      <c r="H28" s="17" t="inlineStr"/>
    </row>
    <row r="29">
      <c r="A29" s="17" t="inlineStr">
        <is>
          <t>what is a next generation firewall</t>
        </is>
      </c>
      <c r="B29" s="17" t="inlineStr">
        <is>
          <t>Question</t>
        </is>
      </c>
      <c r="C29" s="18" t="n">
        <v>590</v>
      </c>
      <c r="D29" s="17" t="inlineStr">
        <is>
          <t>Informational</t>
        </is>
      </c>
      <c r="E29" s="17" t="inlineStr">
        <is>
          <t>Easy</t>
        </is>
      </c>
      <c r="F29" s="21" t="inlineStr">
        <is>
          <t>New</t>
        </is>
      </c>
      <c r="G29" s="17" t="inlineStr">
        <is>
          <t>FAQ</t>
        </is>
      </c>
      <c r="H29" s="17" t="inlineStr">
        <is>
          <t>PAA capture.</t>
        </is>
      </c>
    </row>
    <row r="30">
      <c r="A30" s="17" t="inlineStr">
        <is>
          <t>how often should I update firewall rules</t>
        </is>
      </c>
      <c r="B30" s="17" t="inlineStr">
        <is>
          <t>Question</t>
        </is>
      </c>
      <c r="C30" s="18" t="n">
        <v>110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</t>
        </is>
      </c>
      <c r="H30" s="17" t="inlineStr">
        <is>
          <t>Long-tail, low competition.</t>
        </is>
      </c>
    </row>
    <row r="31">
      <c r="A31" s="17" t="inlineStr">
        <is>
          <t>firewall vs antivirus</t>
        </is>
      </c>
      <c r="B31" s="17" t="inlineStr">
        <is>
          <t>Question</t>
        </is>
      </c>
      <c r="C31" s="18" t="n">
        <v>880</v>
      </c>
      <c r="D31" s="17" t="inlineStr">
        <is>
          <t>Informational</t>
        </is>
      </c>
      <c r="E31" s="17" t="inlineStr">
        <is>
          <t>Moderate</t>
        </is>
      </c>
      <c r="F31" s="21" t="inlineStr">
        <is>
          <t>New</t>
        </is>
      </c>
      <c r="G31" s="17" t="inlineStr">
        <is>
          <t>FAQ, internal link to page 03</t>
        </is>
      </c>
      <c r="H31" s="17" t="inlineStr"/>
    </row>
    <row r="33">
      <c r="A33" s="4" t="inlineStr">
        <is>
          <t>Total keywords:</t>
        </is>
      </c>
      <c r="B33" s="4">
        <f>COUNT(C7:C31)</f>
        <v/>
      </c>
    </row>
    <row r="34">
      <c r="A34" s="4" t="inlineStr">
        <is>
          <t>New keywords:</t>
        </is>
      </c>
      <c r="B34" s="4">
        <f>COUNTIF(F7:F31,"New")</f>
        <v/>
      </c>
    </row>
    <row r="35">
      <c r="A35" s="4" t="inlineStr">
        <is>
          <t>Revised keywords:</t>
        </is>
      </c>
      <c r="B35" s="4">
        <f>COUNTIF(F7:F31,"Revised")</f>
        <v/>
      </c>
    </row>
    <row r="36">
      <c r="A36" s="4" t="inlineStr">
        <is>
          <t>Total est. monthly volume:</t>
        </is>
      </c>
      <c r="B36" s="22">
        <f>SUM(C7:C31)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03 Endpoint Security EDR XDR</t>
        </is>
      </c>
    </row>
    <row r="2">
      <c r="A2" s="4" t="inlineStr">
        <is>
          <t>URL:  https://artiflexit.com/cybersecurity/endpoint-security-edr-xdr</t>
        </is>
      </c>
    </row>
    <row r="3">
      <c r="A3" s="2" t="inlineStr">
        <is>
          <t>Meta Title (revised):  Endpoint Protection UAE | EDR &amp; XDR for Business | Artiflex IT</t>
        </is>
      </c>
    </row>
    <row r="4">
      <c r="A4" s="2" t="inlineStr">
        <is>
          <t>Meta Description:  Managed EDR &amp; XDR for UAE business. Compare CrowdStrike, SentinelOne &amp; Microsoft Defender. Free endpoint assessment.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endpoint protection for business</t>
        </is>
      </c>
      <c r="B7" s="17" t="inlineStr">
        <is>
          <t>Primary</t>
        </is>
      </c>
      <c r="C7" s="18" t="n">
        <v>1300</v>
      </c>
      <c r="D7" s="17" t="inlineStr">
        <is>
          <t>Commercial</t>
        </is>
      </c>
      <c r="E7" s="17" t="inlineStr">
        <is>
          <t>Moderate</t>
        </is>
      </c>
      <c r="F7" s="20" t="inlineStr">
        <is>
          <t>Revised</t>
        </is>
      </c>
      <c r="G7" s="17" t="inlineStr">
        <is>
          <t>H1, Meta Title, URL</t>
        </is>
      </c>
      <c r="H7" s="17" t="inlineStr">
        <is>
          <t>Promoted to primary — EDR has mixed intent, this is commercial.</t>
        </is>
      </c>
    </row>
    <row r="8">
      <c r="A8" s="17" t="inlineStr">
        <is>
          <t>edr cyber security</t>
        </is>
      </c>
      <c r="B8" s="17" t="inlineStr">
        <is>
          <t>Secondary</t>
        </is>
      </c>
      <c r="C8" s="18" t="n">
        <v>3600</v>
      </c>
      <c r="D8" s="17" t="inlineStr">
        <is>
          <t>Informational</t>
        </is>
      </c>
      <c r="E8" s="17" t="inlineStr">
        <is>
          <t>Moderate</t>
        </is>
      </c>
      <c r="F8" s="20" t="inlineStr">
        <is>
          <t>Revised</t>
        </is>
      </c>
      <c r="G8" s="17" t="inlineStr">
        <is>
          <t>H2, first 100 words</t>
        </is>
      </c>
      <c r="H8" s="17" t="inlineStr">
        <is>
          <t>Demoted — high informational intent, not commercial.</t>
        </is>
      </c>
    </row>
    <row r="9">
      <c r="A9" s="17" t="inlineStr">
        <is>
          <t>endpoint detection and response</t>
        </is>
      </c>
      <c r="B9" s="17" t="inlineStr">
        <is>
          <t>Long-tail</t>
        </is>
      </c>
      <c r="C9" s="18" t="n">
        <v>75400</v>
      </c>
      <c r="D9" s="17" t="inlineStr">
        <is>
          <t>Informational</t>
        </is>
      </c>
      <c r="E9" s="17" t="inlineStr">
        <is>
          <t>Hard</t>
        </is>
      </c>
      <c r="F9" s="20" t="inlineStr">
        <is>
          <t>Revised</t>
        </is>
      </c>
      <c r="G9" s="17" t="inlineStr">
        <is>
          <t>H2 (explainer), FAQ</t>
        </is>
      </c>
      <c r="H9" s="17" t="inlineStr">
        <is>
          <t>Demoted — 75K volume is informational PAA; add FAQ but don't stack H1s.</t>
        </is>
      </c>
    </row>
    <row r="10">
      <c r="A10" s="17" t="inlineStr">
        <is>
          <t>xdr cyber security</t>
        </is>
      </c>
      <c r="B10" s="17" t="inlineStr">
        <is>
          <t>Secondary</t>
        </is>
      </c>
      <c r="C10" s="18" t="n">
        <v>1260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 (XDR section)</t>
        </is>
      </c>
      <c r="H10" s="17" t="inlineStr"/>
    </row>
    <row r="11">
      <c r="A11" s="17" t="inlineStr">
        <is>
          <t>managed endpoint security</t>
        </is>
      </c>
      <c r="B11" s="17" t="inlineStr">
        <is>
          <t>Secondary</t>
        </is>
      </c>
      <c r="C11" s="18" t="n">
        <v>8500</v>
      </c>
      <c r="D11" s="17" t="inlineStr">
        <is>
          <t>Commercial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H2 (managed section)</t>
        </is>
      </c>
      <c r="H11" s="17" t="inlineStr">
        <is>
          <t>Strong commercial volume.</t>
        </is>
      </c>
    </row>
    <row r="12">
      <c r="A12" s="17" t="inlineStr">
        <is>
          <t>ransomware protection</t>
        </is>
      </c>
      <c r="B12" s="17" t="inlineStr">
        <is>
          <t>Long-tail</t>
        </is>
      </c>
      <c r="C12" s="18" t="n">
        <v>11000</v>
      </c>
      <c r="D12" s="17" t="inlineStr">
        <is>
          <t>Commercial</t>
        </is>
      </c>
      <c r="E12" s="17" t="inlineStr">
        <is>
          <t>Hard</t>
        </is>
      </c>
      <c r="F12" s="19" t="inlineStr">
        <is>
          <t>Existing</t>
        </is>
      </c>
      <c r="G12" s="17" t="inlineStr">
        <is>
          <t>H2 (ransomware section)</t>
        </is>
      </c>
      <c r="H12" s="17" t="inlineStr"/>
    </row>
    <row r="13">
      <c r="A13" s="17" t="inlineStr">
        <is>
          <t>threat hunting</t>
        </is>
      </c>
      <c r="B13" s="17" t="inlineStr">
        <is>
          <t>Long-tail</t>
        </is>
      </c>
      <c r="C13" s="18" t="n">
        <v>11200</v>
      </c>
      <c r="D13" s="17" t="inlineStr">
        <is>
          <t>Informational</t>
        </is>
      </c>
      <c r="E13" s="17" t="inlineStr">
        <is>
          <t>Hard</t>
        </is>
      </c>
      <c r="F13" s="20" t="inlineStr">
        <is>
          <t>Revised</t>
        </is>
      </c>
      <c r="G13" s="17" t="inlineStr">
        <is>
          <t>FAQ, managed section body</t>
        </is>
      </c>
      <c r="H13" s="17" t="inlineStr">
        <is>
          <t>Demoted — broad informational; don't use in H1.</t>
        </is>
      </c>
    </row>
    <row r="14">
      <c r="A14" s="17" t="inlineStr">
        <is>
          <t>what is EDR</t>
        </is>
      </c>
      <c r="B14" s="17" t="inlineStr">
        <is>
          <t>Long-tail</t>
        </is>
      </c>
      <c r="C14" s="18" t="n">
        <v>7690</v>
      </c>
      <c r="D14" s="17" t="inlineStr">
        <is>
          <t>Informational</t>
        </is>
      </c>
      <c r="E14" s="17" t="inlineStr">
        <is>
          <t>Moderate</t>
        </is>
      </c>
      <c r="F14" s="19" t="inlineStr">
        <is>
          <t>Existing</t>
        </is>
      </c>
      <c r="G14" s="17" t="inlineStr">
        <is>
          <t>FAQ block</t>
        </is>
      </c>
      <c r="H14" s="17" t="inlineStr"/>
    </row>
    <row r="15">
      <c r="A15" s="17" t="inlineStr">
        <is>
          <t>EDR vs antivirus</t>
        </is>
      </c>
      <c r="B15" s="17" t="inlineStr">
        <is>
          <t>Long-tail</t>
        </is>
      </c>
      <c r="C15" s="18" t="n">
        <v>820</v>
      </c>
      <c r="D15" s="17" t="inlineStr">
        <is>
          <t>Informational</t>
        </is>
      </c>
      <c r="E15" s="17" t="inlineStr">
        <is>
          <t>Easy</t>
        </is>
      </c>
      <c r="F15" s="19" t="inlineStr">
        <is>
          <t>Existing</t>
        </is>
      </c>
      <c r="G15" s="17" t="inlineStr">
        <is>
          <t>H3 (comparison section)</t>
        </is>
      </c>
      <c r="H15" s="17" t="inlineStr"/>
    </row>
    <row r="16">
      <c r="A16" s="17" t="inlineStr">
        <is>
          <t>next-generation antivirus</t>
        </is>
      </c>
      <c r="B16" s="17" t="inlineStr">
        <is>
          <t>Long-tail</t>
        </is>
      </c>
      <c r="C16" s="18" t="n">
        <v>1315</v>
      </c>
      <c r="D16" s="17" t="inlineStr">
        <is>
          <t>Informational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Body</t>
        </is>
      </c>
      <c r="H16" s="17" t="inlineStr"/>
    </row>
    <row r="17">
      <c r="A17" s="17" t="inlineStr">
        <is>
          <t>endpoint security solutions</t>
        </is>
      </c>
      <c r="B17" s="17" t="inlineStr">
        <is>
          <t>Long-tail</t>
        </is>
      </c>
      <c r="C17" s="18" t="n">
        <v>2900</v>
      </c>
      <c r="D17" s="17" t="inlineStr">
        <is>
          <t>Commercial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Body, vendor table</t>
        </is>
      </c>
      <c r="H17" s="17" t="inlineStr"/>
    </row>
    <row r="18">
      <c r="A18" s="17" t="inlineStr">
        <is>
          <t>advanced endpoint protection</t>
        </is>
      </c>
      <c r="B18" s="17" t="inlineStr">
        <is>
          <t>Long-tail</t>
        </is>
      </c>
      <c r="C18" s="18" t="n">
        <v>690</v>
      </c>
      <c r="D18" s="17" t="inlineStr">
        <is>
          <t>Commercial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Body</t>
        </is>
      </c>
      <c r="H18" s="17" t="inlineStr"/>
    </row>
    <row r="19">
      <c r="A19" s="17" t="inlineStr">
        <is>
          <t>EDR solutions for small business</t>
        </is>
      </c>
      <c r="B19" s="17" t="inlineStr">
        <is>
          <t>Long-tail</t>
        </is>
      </c>
      <c r="C19" s="18" t="n">
        <v>320</v>
      </c>
      <c r="D19" s="17" t="inlineStr">
        <is>
          <t>Commercial</t>
        </is>
      </c>
      <c r="E19" s="17" t="inlineStr">
        <is>
          <t>Easy</t>
        </is>
      </c>
      <c r="F19" s="19" t="inlineStr">
        <is>
          <t>Existing</t>
        </is>
      </c>
      <c r="G19" s="17" t="inlineStr">
        <is>
          <t>H3 (SMB callout — new)</t>
        </is>
      </c>
      <c r="H19" s="17" t="inlineStr"/>
    </row>
    <row r="20">
      <c r="A20" s="17" t="inlineStr">
        <is>
          <t>endpoint security management</t>
        </is>
      </c>
      <c r="B20" s="17" t="inlineStr">
        <is>
          <t>Long-tail</t>
        </is>
      </c>
      <c r="C20" s="18" t="n">
        <v>760</v>
      </c>
      <c r="D20" s="17" t="inlineStr">
        <is>
          <t>Commercial</t>
        </is>
      </c>
      <c r="E20" s="17" t="inlineStr">
        <is>
          <t>Easy</t>
        </is>
      </c>
      <c r="F20" s="19" t="inlineStr">
        <is>
          <t>Existing</t>
        </is>
      </c>
      <c r="G20" s="17" t="inlineStr">
        <is>
          <t>Managed section</t>
        </is>
      </c>
      <c r="H20" s="17" t="inlineStr"/>
    </row>
    <row r="21">
      <c r="A21" s="17" t="inlineStr">
        <is>
          <t>managed EDR services UAE</t>
        </is>
      </c>
      <c r="B21" s="17" t="inlineStr">
        <is>
          <t>Geo</t>
        </is>
      </c>
      <c r="C21" s="18" t="n">
        <v>140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Meta description, CTA</t>
        </is>
      </c>
      <c r="H21" s="17" t="inlineStr">
        <is>
          <t>High-intent; low competition.</t>
        </is>
      </c>
    </row>
    <row r="22">
      <c r="A22" s="17" t="inlineStr">
        <is>
          <t>endpoint security Dubai</t>
        </is>
      </c>
      <c r="B22" s="17" t="inlineStr">
        <is>
          <t>Geo</t>
        </is>
      </c>
      <c r="C22" s="18" t="n">
        <v>210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H2, body</t>
        </is>
      </c>
      <c r="H22" s="17" t="inlineStr"/>
    </row>
    <row r="23">
      <c r="A23" s="17" t="inlineStr">
        <is>
          <t>EDR services UAE</t>
        </is>
      </c>
      <c r="B23" s="17" t="inlineStr">
        <is>
          <t>Geo</t>
        </is>
      </c>
      <c r="C23" s="18" t="n">
        <v>170</v>
      </c>
      <c r="D23" s="17" t="inlineStr">
        <is>
          <t>Commercial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Body</t>
        </is>
      </c>
      <c r="H23" s="17" t="inlineStr"/>
    </row>
    <row r="24">
      <c r="A24" s="17" t="inlineStr">
        <is>
          <t>CrowdStrike partner UAE</t>
        </is>
      </c>
      <c r="B24" s="17" t="inlineStr">
        <is>
          <t>Partner</t>
        </is>
      </c>
      <c r="C24" s="18" t="n">
        <v>110</v>
      </c>
      <c r="D24" s="17" t="inlineStr">
        <is>
          <t>Transactional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Vendor comparison table</t>
        </is>
      </c>
      <c r="H24" s="17" t="inlineStr">
        <is>
          <t>Confirm partner status.</t>
        </is>
      </c>
    </row>
    <row r="25">
      <c r="A25" s="17" t="inlineStr">
        <is>
          <t>SentinelOne partner Dubai</t>
        </is>
      </c>
      <c r="B25" s="17" t="inlineStr">
        <is>
          <t>Partner</t>
        </is>
      </c>
      <c r="C25" s="18" t="n">
        <v>90</v>
      </c>
      <c r="D25" s="17" t="inlineStr">
        <is>
          <t>Transactional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Vendor comparison table</t>
        </is>
      </c>
      <c r="H25" s="17" t="inlineStr"/>
    </row>
    <row r="26">
      <c r="A26" s="17" t="inlineStr">
        <is>
          <t>CrowdStrike vs SentinelOne</t>
        </is>
      </c>
      <c r="B26" s="17" t="inlineStr">
        <is>
          <t>Comparison</t>
        </is>
      </c>
      <c r="C26" s="18" t="n">
        <v>1600</v>
      </c>
      <c r="D26" s="17" t="inlineStr">
        <is>
          <t>Informational</t>
        </is>
      </c>
      <c r="E26" s="17" t="inlineStr">
        <is>
          <t>Moderate</t>
        </is>
      </c>
      <c r="F26" s="21" t="inlineStr">
        <is>
          <t>New</t>
        </is>
      </c>
      <c r="G26" s="17" t="inlineStr">
        <is>
          <t>H3 comparison block, FAQ</t>
        </is>
      </c>
      <c r="H26" s="17" t="inlineStr">
        <is>
          <t>Top-3 PAA for this space.</t>
        </is>
      </c>
    </row>
    <row r="27">
      <c r="A27" s="17" t="inlineStr">
        <is>
          <t>Microsoft Defender vs CrowdStrike</t>
        </is>
      </c>
      <c r="B27" s="17" t="inlineStr">
        <is>
          <t>Comparison</t>
        </is>
      </c>
      <c r="C27" s="18" t="n">
        <v>880</v>
      </c>
      <c r="D27" s="17" t="inlineStr">
        <is>
          <t>Informational</t>
        </is>
      </c>
      <c r="E27" s="17" t="inlineStr">
        <is>
          <t>Moderate</t>
        </is>
      </c>
      <c r="F27" s="21" t="inlineStr">
        <is>
          <t>New</t>
        </is>
      </c>
      <c r="G27" s="17" t="inlineStr">
        <is>
          <t>H3 comparison block</t>
        </is>
      </c>
      <c r="H27" s="17" t="inlineStr"/>
    </row>
    <row r="28">
      <c r="A28" s="17" t="inlineStr">
        <is>
          <t>Sophos Intercept X vs CrowdStrike</t>
        </is>
      </c>
      <c r="B28" s="17" t="inlineStr">
        <is>
          <t>Comparison</t>
        </is>
      </c>
      <c r="C28" s="18" t="n">
        <v>170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Body</t>
        </is>
      </c>
      <c r="H28" s="17" t="inlineStr"/>
    </row>
    <row r="29">
      <c r="A29" s="17" t="inlineStr">
        <is>
          <t>is Microsoft Defender enough for business</t>
        </is>
      </c>
      <c r="B29" s="17" t="inlineStr">
        <is>
          <t>Question</t>
        </is>
      </c>
      <c r="C29" s="18" t="n">
        <v>590</v>
      </c>
      <c r="D29" s="17" t="inlineStr">
        <is>
          <t>Informational</t>
        </is>
      </c>
      <c r="E29" s="17" t="inlineStr">
        <is>
          <t>Easy</t>
        </is>
      </c>
      <c r="F29" s="21" t="inlineStr">
        <is>
          <t>New</t>
        </is>
      </c>
      <c r="G29" s="17" t="inlineStr">
        <is>
          <t>FAQ</t>
        </is>
      </c>
      <c r="H29" s="17" t="inlineStr">
        <is>
          <t>Very common CFO question.</t>
        </is>
      </c>
    </row>
    <row r="30">
      <c r="A30" s="17" t="inlineStr">
        <is>
          <t>do I need EDR if I have antivirus</t>
        </is>
      </c>
      <c r="B30" s="17" t="inlineStr">
        <is>
          <t>Question</t>
        </is>
      </c>
      <c r="C30" s="18" t="n">
        <v>320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</t>
        </is>
      </c>
      <c r="H30" s="17" t="inlineStr"/>
    </row>
    <row r="31">
      <c r="A31" s="17" t="inlineStr">
        <is>
          <t>EDR pricing per endpoint</t>
        </is>
      </c>
      <c r="B31" s="17" t="inlineStr">
        <is>
          <t>Question</t>
        </is>
      </c>
      <c r="C31" s="18" t="n">
        <v>390</v>
      </c>
      <c r="D31" s="17" t="inlineStr">
        <is>
          <t>Commercial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 (no specific prices — ranges)</t>
        </is>
      </c>
      <c r="H31" s="17" t="inlineStr">
        <is>
          <t>Careful with pricing disclosures.</t>
        </is>
      </c>
    </row>
    <row r="33">
      <c r="A33" s="4" t="inlineStr">
        <is>
          <t>Total keywords:</t>
        </is>
      </c>
      <c r="B33" s="4">
        <f>COUNT(C7:C31)</f>
        <v/>
      </c>
    </row>
    <row r="34">
      <c r="A34" s="4" t="inlineStr">
        <is>
          <t>New keywords:</t>
        </is>
      </c>
      <c r="B34" s="4">
        <f>COUNTIF(F7:F31,"New")</f>
        <v/>
      </c>
    </row>
    <row r="35">
      <c r="A35" s="4" t="inlineStr">
        <is>
          <t>Revised keywords:</t>
        </is>
      </c>
      <c r="B35" s="4">
        <f>COUNTIF(F7:F31,"Revised")</f>
        <v/>
      </c>
    </row>
    <row r="36">
      <c r="A36" s="4" t="inlineStr">
        <is>
          <t>Total est. monthly volume:</t>
        </is>
      </c>
      <c r="B36" s="22">
        <f>SUM(C7:C31)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04 Email Security</t>
        </is>
      </c>
    </row>
    <row r="2">
      <c r="A2" s="4" t="inlineStr">
        <is>
          <t>URL:  https://artiflexit.com/cybersecurity/email-security</t>
        </is>
      </c>
    </row>
    <row r="3">
      <c r="A3" s="2" t="inlineStr">
        <is>
          <t>Meta Title (revised):  Email Security UAE | Phishing &amp; BEC Protection | Artiflex IT</t>
        </is>
      </c>
    </row>
    <row r="4">
      <c r="A4" s="2" t="inlineStr">
        <is>
          <t>Meta Description:  Stop phishing &amp; BEC attacks in UAE. AI email security, DMARC setup &amp; Proofpoint/Mimecast. Free phishing risk test.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email security solutions for business</t>
        </is>
      </c>
      <c r="B7" s="17" t="inlineStr">
        <is>
          <t>Primary</t>
        </is>
      </c>
      <c r="C7" s="18" t="n">
        <v>1900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email security</t>
        </is>
      </c>
      <c r="B8" s="17" t="inlineStr">
        <is>
          <t>Secondary</t>
        </is>
      </c>
      <c r="C8" s="18" t="n">
        <v>6600</v>
      </c>
      <c r="D8" s="17" t="inlineStr">
        <is>
          <t>Informational</t>
        </is>
      </c>
      <c r="E8" s="17" t="inlineStr">
        <is>
          <t>Hard</t>
        </is>
      </c>
      <c r="F8" s="19" t="inlineStr">
        <is>
          <t>Existing</t>
        </is>
      </c>
      <c r="G8" s="17" t="inlineStr">
        <is>
          <t>H2, body, meta</t>
        </is>
      </c>
      <c r="H8" s="17" t="inlineStr"/>
    </row>
    <row r="9">
      <c r="A9" s="17" t="inlineStr">
        <is>
          <t>phishing protection for enterprise</t>
        </is>
      </c>
      <c r="B9" s="17" t="inlineStr">
        <is>
          <t>Secondary</t>
        </is>
      </c>
      <c r="C9" s="18" t="n">
        <v>880</v>
      </c>
      <c r="D9" s="17" t="inlineStr">
        <is>
          <t>Commercial</t>
        </is>
      </c>
      <c r="E9" s="17" t="inlineStr">
        <is>
          <t>Moderate</t>
        </is>
      </c>
      <c r="F9" s="19" t="inlineStr">
        <is>
          <t>Existing</t>
        </is>
      </c>
      <c r="G9" s="17" t="inlineStr">
        <is>
          <t>H2</t>
        </is>
      </c>
      <c r="H9" s="17" t="inlineStr"/>
    </row>
    <row r="10">
      <c r="A10" s="17" t="inlineStr">
        <is>
          <t>phishing prevention solutions</t>
        </is>
      </c>
      <c r="B10" s="17" t="inlineStr">
        <is>
          <t>Long-tail</t>
        </is>
      </c>
      <c r="C10" s="18" t="n">
        <v>720</v>
      </c>
      <c r="D10" s="17" t="inlineStr">
        <is>
          <t>Commercial</t>
        </is>
      </c>
      <c r="E10" s="17" t="inlineStr">
        <is>
          <t>Easy</t>
        </is>
      </c>
      <c r="F10" s="19" t="inlineStr">
        <is>
          <t>Existing</t>
        </is>
      </c>
      <c r="G10" s="17" t="inlineStr">
        <is>
          <t>H2 (multi-layer approach)</t>
        </is>
      </c>
      <c r="H10" s="17" t="inlineStr"/>
    </row>
    <row r="11">
      <c r="A11" s="17" t="inlineStr">
        <is>
          <t>business email compromise prevention</t>
        </is>
      </c>
      <c r="B11" s="17" t="inlineStr">
        <is>
          <t>Long-tail</t>
        </is>
      </c>
      <c r="C11" s="18" t="n">
        <v>590</v>
      </c>
      <c r="D11" s="17" t="inlineStr">
        <is>
          <t>Commercial</t>
        </is>
      </c>
      <c r="E11" s="17" t="inlineStr">
        <is>
          <t>Easy</t>
        </is>
      </c>
      <c r="F11" s="19" t="inlineStr">
        <is>
          <t>Existing</t>
        </is>
      </c>
      <c r="G11" s="17" t="inlineStr">
        <is>
          <t>H2 (BEC section)</t>
        </is>
      </c>
      <c r="H11" s="17" t="inlineStr"/>
    </row>
    <row r="12">
      <c r="A12" s="17" t="inlineStr">
        <is>
          <t>AI phishing detection</t>
        </is>
      </c>
      <c r="B12" s="17" t="inlineStr">
        <is>
          <t>Long-tail</t>
        </is>
      </c>
      <c r="C12" s="18" t="n">
        <v>1000</v>
      </c>
      <c r="D12" s="17" t="inlineStr">
        <is>
          <t>Informational</t>
        </is>
      </c>
      <c r="E12" s="17" t="inlineStr">
        <is>
          <t>Easy</t>
        </is>
      </c>
      <c r="F12" s="19" t="inlineStr">
        <is>
          <t>Existing</t>
        </is>
      </c>
      <c r="G12" s="17" t="inlineStr">
        <is>
          <t>H2 (AI section)</t>
        </is>
      </c>
      <c r="H12" s="17" t="inlineStr"/>
    </row>
    <row r="13">
      <c r="A13" s="17" t="inlineStr">
        <is>
          <t>email threat protection</t>
        </is>
      </c>
      <c r="B13" s="17" t="inlineStr">
        <is>
          <t>Long-tail</t>
        </is>
      </c>
      <c r="C13" s="18" t="n">
        <v>480</v>
      </c>
      <c r="D13" s="17" t="inlineStr">
        <is>
          <t>Commercial</t>
        </is>
      </c>
      <c r="E13" s="17" t="inlineStr">
        <is>
          <t>Easy</t>
        </is>
      </c>
      <c r="F13" s="19" t="inlineStr">
        <is>
          <t>Existing</t>
        </is>
      </c>
      <c r="G13" s="17" t="inlineStr">
        <is>
          <t>Body</t>
        </is>
      </c>
      <c r="H13" s="17" t="inlineStr"/>
    </row>
    <row r="14">
      <c r="A14" s="17" t="inlineStr">
        <is>
          <t>email security gateway</t>
        </is>
      </c>
      <c r="B14" s="17" t="inlineStr">
        <is>
          <t>Long-tail</t>
        </is>
      </c>
      <c r="C14" s="18" t="n">
        <v>880</v>
      </c>
      <c r="D14" s="17" t="inlineStr">
        <is>
          <t>Informational</t>
        </is>
      </c>
      <c r="E14" s="17" t="inlineStr">
        <is>
          <t>Moderate</t>
        </is>
      </c>
      <c r="F14" s="19" t="inlineStr">
        <is>
          <t>Existing</t>
        </is>
      </c>
      <c r="G14" s="17" t="inlineStr">
        <is>
          <t>Body (Layer 1)</t>
        </is>
      </c>
      <c r="H14" s="17" t="inlineStr"/>
    </row>
    <row r="15">
      <c r="A15" s="17" t="inlineStr">
        <is>
          <t>DMARC email security</t>
        </is>
      </c>
      <c r="B15" s="17" t="inlineStr">
        <is>
          <t>Long-tail</t>
        </is>
      </c>
      <c r="C15" s="18" t="n">
        <v>720</v>
      </c>
      <c r="D15" s="17" t="inlineStr">
        <is>
          <t>Informational</t>
        </is>
      </c>
      <c r="E15" s="17" t="inlineStr">
        <is>
          <t>Easy</t>
        </is>
      </c>
      <c r="F15" s="19" t="inlineStr">
        <is>
          <t>Existing</t>
        </is>
      </c>
      <c r="G15" s="17" t="inlineStr">
        <is>
          <t>Layer 3 paragraph</t>
        </is>
      </c>
      <c r="H15" s="17" t="inlineStr"/>
    </row>
    <row r="16">
      <c r="A16" s="17" t="inlineStr">
        <is>
          <t>how to prevent phishing attacks</t>
        </is>
      </c>
      <c r="B16" s="17" t="inlineStr">
        <is>
          <t>Long-tail</t>
        </is>
      </c>
      <c r="C16" s="18" t="n">
        <v>1600</v>
      </c>
      <c r="D16" s="17" t="inlineStr">
        <is>
          <t>Informational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H2 (multi-layer approach)</t>
        </is>
      </c>
      <c r="H16" s="17" t="inlineStr"/>
    </row>
    <row r="17">
      <c r="A17" s="17" t="inlineStr">
        <is>
          <t>secure email for business</t>
        </is>
      </c>
      <c r="B17" s="17" t="inlineStr">
        <is>
          <t>Long-tail</t>
        </is>
      </c>
      <c r="C17" s="18" t="n">
        <v>480</v>
      </c>
      <c r="D17" s="17" t="inlineStr">
        <is>
          <t>Commercial</t>
        </is>
      </c>
      <c r="E17" s="17" t="inlineStr">
        <is>
          <t>Easy</t>
        </is>
      </c>
      <c r="F17" s="19" t="inlineStr">
        <is>
          <t>Existing</t>
        </is>
      </c>
      <c r="G17" s="17" t="inlineStr">
        <is>
          <t>Body, CTA</t>
        </is>
      </c>
      <c r="H17" s="17" t="inlineStr"/>
    </row>
    <row r="18">
      <c r="A18" s="17" t="inlineStr">
        <is>
          <t>email security best practices 2026</t>
        </is>
      </c>
      <c r="B18" s="17" t="inlineStr">
        <is>
          <t>Long-tail</t>
        </is>
      </c>
      <c r="C18" s="18" t="n">
        <v>390</v>
      </c>
      <c r="D18" s="17" t="inlineStr">
        <is>
          <t>Informational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H2 (best practices)</t>
        </is>
      </c>
      <c r="H18" s="17" t="inlineStr"/>
    </row>
    <row r="19">
      <c r="A19" s="17" t="inlineStr">
        <is>
          <t>phishing simulation UAE</t>
        </is>
      </c>
      <c r="B19" s="17" t="inlineStr">
        <is>
          <t>Geo</t>
        </is>
      </c>
      <c r="C19" s="18" t="n">
        <v>110</v>
      </c>
      <c r="D19" s="17" t="inlineStr">
        <is>
          <t>Transactional</t>
        </is>
      </c>
      <c r="E19" s="17" t="inlineStr">
        <is>
          <t>Easy</t>
        </is>
      </c>
      <c r="F19" s="21" t="inlineStr">
        <is>
          <t>New</t>
        </is>
      </c>
      <c r="G19" s="17" t="inlineStr">
        <is>
          <t>Primary CTA block</t>
        </is>
      </c>
      <c r="H19" s="17" t="inlineStr">
        <is>
          <t>Matches the phishing risk assessment CTA.</t>
        </is>
      </c>
    </row>
    <row r="20">
      <c r="A20" s="17" t="inlineStr">
        <is>
          <t>email security services Dubai</t>
        </is>
      </c>
      <c r="B20" s="17" t="inlineStr">
        <is>
          <t>Geo</t>
        </is>
      </c>
      <c r="C20" s="18" t="n">
        <v>170</v>
      </c>
      <c r="D20" s="17" t="inlineStr">
        <is>
          <t>Commercial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H2, meta description</t>
        </is>
      </c>
      <c r="H20" s="17" t="inlineStr"/>
    </row>
    <row r="21">
      <c r="A21" s="17" t="inlineStr">
        <is>
          <t>BEC protection UAE</t>
        </is>
      </c>
      <c r="B21" s="17" t="inlineStr">
        <is>
          <t>Geo</t>
        </is>
      </c>
      <c r="C21" s="18" t="n">
        <v>90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Body</t>
        </is>
      </c>
      <c r="H21" s="17" t="inlineStr"/>
    </row>
    <row r="22">
      <c r="A22" s="17" t="inlineStr">
        <is>
          <t>DMARC implementation Dubai</t>
        </is>
      </c>
      <c r="B22" s="17" t="inlineStr">
        <is>
          <t>Geo</t>
        </is>
      </c>
      <c r="C22" s="18" t="n">
        <v>70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H3 (DMARC paragraph)</t>
        </is>
      </c>
      <c r="H22" s="17" t="inlineStr"/>
    </row>
    <row r="23">
      <c r="A23" s="17" t="inlineStr">
        <is>
          <t>Proofpoint partner UAE</t>
        </is>
      </c>
      <c r="B23" s="17" t="inlineStr">
        <is>
          <t>Partner</t>
        </is>
      </c>
      <c r="C23" s="18" t="n">
        <v>90</v>
      </c>
      <c r="D23" s="17" t="inlineStr">
        <is>
          <t>Transactional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Vendor table</t>
        </is>
      </c>
      <c r="H23" s="17" t="inlineStr">
        <is>
          <t>Validate.</t>
        </is>
      </c>
    </row>
    <row r="24">
      <c r="A24" s="17" t="inlineStr">
        <is>
          <t>Mimecast partner UAE</t>
        </is>
      </c>
      <c r="B24" s="17" t="inlineStr">
        <is>
          <t>Partner</t>
        </is>
      </c>
      <c r="C24" s="18" t="n">
        <v>70</v>
      </c>
      <c r="D24" s="17" t="inlineStr">
        <is>
          <t>Transactional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Vendor table</t>
        </is>
      </c>
      <c r="H24" s="17" t="inlineStr">
        <is>
          <t>Validate.</t>
        </is>
      </c>
    </row>
    <row r="25">
      <c r="A25" s="17" t="inlineStr">
        <is>
          <t>Abnormal Security partner Middle East</t>
        </is>
      </c>
      <c r="B25" s="17" t="inlineStr">
        <is>
          <t>Partner</t>
        </is>
      </c>
      <c r="C25" s="18" t="n">
        <v>50</v>
      </c>
      <c r="D25" s="17" t="inlineStr">
        <is>
          <t>Transactional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Body</t>
        </is>
      </c>
      <c r="H25" s="17" t="inlineStr"/>
    </row>
    <row r="26">
      <c r="A26" s="17" t="inlineStr">
        <is>
          <t>Proofpoint vs Mimecast</t>
        </is>
      </c>
      <c r="B26" s="17" t="inlineStr">
        <is>
          <t>Comparison</t>
        </is>
      </c>
      <c r="C26" s="18" t="n">
        <v>720</v>
      </c>
      <c r="D26" s="17" t="inlineStr">
        <is>
          <t>Informational</t>
        </is>
      </c>
      <c r="E26" s="17" t="inlineStr">
        <is>
          <t>Moderate</t>
        </is>
      </c>
      <c r="F26" s="21" t="inlineStr">
        <is>
          <t>New</t>
        </is>
      </c>
      <c r="G26" s="17" t="inlineStr">
        <is>
          <t>H3 comparison block, FAQ</t>
        </is>
      </c>
      <c r="H26" s="17" t="inlineStr">
        <is>
          <t>Top PAA question.</t>
        </is>
      </c>
    </row>
    <row r="27">
      <c r="A27" s="17" t="inlineStr">
        <is>
          <t>Abnormal Security vs Proofpoint</t>
        </is>
      </c>
      <c r="B27" s="17" t="inlineStr">
        <is>
          <t>Comparison</t>
        </is>
      </c>
      <c r="C27" s="18" t="n">
        <v>210</v>
      </c>
      <c r="D27" s="17" t="inlineStr">
        <is>
          <t>Informational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H3</t>
        </is>
      </c>
      <c r="H27" s="17" t="inlineStr"/>
    </row>
    <row r="28">
      <c r="A28" s="17" t="inlineStr">
        <is>
          <t>Microsoft Defender for Office vs Proofpoint</t>
        </is>
      </c>
      <c r="B28" s="17" t="inlineStr">
        <is>
          <t>Comparison</t>
        </is>
      </c>
      <c r="C28" s="18" t="n">
        <v>320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H3</t>
        </is>
      </c>
      <c r="H28" s="17" t="inlineStr"/>
    </row>
    <row r="29">
      <c r="A29" s="17" t="inlineStr">
        <is>
          <t>what is business email compromise</t>
        </is>
      </c>
      <c r="B29" s="17" t="inlineStr">
        <is>
          <t>Question</t>
        </is>
      </c>
      <c r="C29" s="18" t="n">
        <v>880</v>
      </c>
      <c r="D29" s="17" t="inlineStr">
        <is>
          <t>Informational</t>
        </is>
      </c>
      <c r="E29" s="17" t="inlineStr">
        <is>
          <t>Moderate</t>
        </is>
      </c>
      <c r="F29" s="21" t="inlineStr">
        <is>
          <t>New</t>
        </is>
      </c>
      <c r="G29" s="17" t="inlineStr">
        <is>
          <t>FAQ</t>
        </is>
      </c>
      <c r="H29" s="17" t="inlineStr"/>
    </row>
    <row r="30">
      <c r="A30" s="17" t="inlineStr">
        <is>
          <t>how does DMARC work</t>
        </is>
      </c>
      <c r="B30" s="17" t="inlineStr">
        <is>
          <t>Question</t>
        </is>
      </c>
      <c r="C30" s="18" t="n">
        <v>2900</v>
      </c>
      <c r="D30" s="17" t="inlineStr">
        <is>
          <t>Informational</t>
        </is>
      </c>
      <c r="E30" s="17" t="inlineStr">
        <is>
          <t>Moderate</t>
        </is>
      </c>
      <c r="F30" s="21" t="inlineStr">
        <is>
          <t>New</t>
        </is>
      </c>
      <c r="G30" s="17" t="inlineStr">
        <is>
          <t>FAQ</t>
        </is>
      </c>
      <c r="H30" s="17" t="inlineStr">
        <is>
          <t>High volume, low conversion — info block only.</t>
        </is>
      </c>
    </row>
    <row r="31">
      <c r="A31" s="17" t="inlineStr">
        <is>
          <t>how to stop phishing emails</t>
        </is>
      </c>
      <c r="B31" s="17" t="inlineStr">
        <is>
          <t>Question</t>
        </is>
      </c>
      <c r="C31" s="18" t="n">
        <v>1300</v>
      </c>
      <c r="D31" s="17" t="inlineStr">
        <is>
          <t>Informational</t>
        </is>
      </c>
      <c r="E31" s="17" t="inlineStr">
        <is>
          <t>Moderate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2">
      <c r="A32" s="17" t="inlineStr">
        <is>
          <t>NESA email security requirements</t>
        </is>
      </c>
      <c r="B32" s="17" t="inlineStr">
        <is>
          <t>Compliance</t>
        </is>
      </c>
      <c r="C32" s="18" t="n">
        <v>70</v>
      </c>
      <c r="D32" s="17" t="inlineStr">
        <is>
          <t>Informational</t>
        </is>
      </c>
      <c r="E32" s="17" t="inlineStr">
        <is>
          <t>Easy</t>
        </is>
      </c>
      <c r="F32" s="21" t="inlineStr">
        <is>
          <t>New</t>
        </is>
      </c>
      <c r="G32" s="17" t="inlineStr">
        <is>
          <t>Body, compliance callout</t>
        </is>
      </c>
      <c r="H32" s="17" t="inlineStr"/>
    </row>
    <row r="34">
      <c r="A34" s="4" t="inlineStr">
        <is>
          <t>Total keywords:</t>
        </is>
      </c>
      <c r="B34" s="4">
        <f>COUNT(C7:C32)</f>
        <v/>
      </c>
    </row>
    <row r="35">
      <c r="A35" s="4" t="inlineStr">
        <is>
          <t>New keywords:</t>
        </is>
      </c>
      <c r="B35" s="4">
        <f>COUNTIF(F7:F32,"New")</f>
        <v/>
      </c>
    </row>
    <row r="36">
      <c r="A36" s="4" t="inlineStr">
        <is>
          <t>Revised keywords:</t>
        </is>
      </c>
      <c r="B36" s="4">
        <f>COUNTIF(F7:F32,"Revised")</f>
        <v/>
      </c>
    </row>
    <row r="37">
      <c r="A37" s="4" t="inlineStr">
        <is>
          <t>Total est. monthly volume:</t>
        </is>
      </c>
      <c r="B37" s="22">
        <f>SUM(C7:C32)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05 Data Loss Prevention DLP</t>
        </is>
      </c>
    </row>
    <row r="2">
      <c r="A2" s="4" t="inlineStr">
        <is>
          <t>URL:  https://artiflexit.com/cybersecurity/data-loss-prevention</t>
        </is>
      </c>
    </row>
    <row r="3">
      <c r="A3" s="2" t="inlineStr">
        <is>
          <t>Meta Title (revised):  DLP Solutions UAE | Data Loss Prevention &amp; PDPL | Artiflex IT</t>
        </is>
      </c>
    </row>
    <row r="4">
      <c r="A4" s="2" t="inlineStr">
        <is>
          <t>Meta Description:  Prevent data leaks with enterprise DLP. UAE PDPL, GDPR &amp; HIPAA compliance. Free data protection consultation.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data loss prevention solutions</t>
        </is>
      </c>
      <c r="B7" s="17" t="inlineStr">
        <is>
          <t>Primary</t>
        </is>
      </c>
      <c r="C7" s="18" t="n">
        <v>1600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data security</t>
        </is>
      </c>
      <c r="B8" s="17" t="inlineStr">
        <is>
          <t>Secondary</t>
        </is>
      </c>
      <c r="C8" s="18" t="n">
        <v>3600</v>
      </c>
      <c r="D8" s="17" t="inlineStr">
        <is>
          <t>Informational</t>
        </is>
      </c>
      <c r="E8" s="17" t="inlineStr">
        <is>
          <t>Hard</t>
        </is>
      </c>
      <c r="F8" s="19" t="inlineStr">
        <is>
          <t>Existing</t>
        </is>
      </c>
      <c r="G8" s="17" t="inlineStr">
        <is>
          <t>H2, body</t>
        </is>
      </c>
      <c r="H8" s="17" t="inlineStr"/>
    </row>
    <row r="9">
      <c r="A9" s="17" t="inlineStr">
        <is>
          <t>how to prevent data leakage in a company</t>
        </is>
      </c>
      <c r="B9" s="17" t="inlineStr">
        <is>
          <t>Secondary</t>
        </is>
      </c>
      <c r="C9" s="18" t="n">
        <v>720</v>
      </c>
      <c r="D9" s="17" t="inlineStr">
        <is>
          <t>Informational</t>
        </is>
      </c>
      <c r="E9" s="17" t="inlineStr">
        <is>
          <t>Easy</t>
        </is>
      </c>
      <c r="F9" s="19" t="inlineStr">
        <is>
          <t>Existing</t>
        </is>
      </c>
      <c r="G9" s="17" t="inlineStr">
        <is>
          <t>H2 (framework section)</t>
        </is>
      </c>
      <c r="H9" s="17" t="inlineStr"/>
    </row>
    <row r="10">
      <c r="A10" s="17" t="inlineStr">
        <is>
          <t>DLP software for business</t>
        </is>
      </c>
      <c r="B10" s="17" t="inlineStr">
        <is>
          <t>Long-tail</t>
        </is>
      </c>
      <c r="C10" s="18" t="n">
        <v>480</v>
      </c>
      <c r="D10" s="17" t="inlineStr">
        <is>
          <t>Commercial</t>
        </is>
      </c>
      <c r="E10" s="17" t="inlineStr">
        <is>
          <t>Easy</t>
        </is>
      </c>
      <c r="F10" s="19" t="inlineStr">
        <is>
          <t>Existing</t>
        </is>
      </c>
      <c r="G10" s="17" t="inlineStr">
        <is>
          <t>H2 (what DLP does)</t>
        </is>
      </c>
      <c r="H10" s="17" t="inlineStr"/>
    </row>
    <row r="11">
      <c r="A11" s="17" t="inlineStr">
        <is>
          <t>enterprise data loss prevention</t>
        </is>
      </c>
      <c r="B11" s="17" t="inlineStr">
        <is>
          <t>Long-tail</t>
        </is>
      </c>
      <c r="C11" s="18" t="n">
        <v>590</v>
      </c>
      <c r="D11" s="17" t="inlineStr">
        <is>
          <t>Commercial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Body, vendor table</t>
        </is>
      </c>
      <c r="H11" s="17" t="inlineStr"/>
    </row>
    <row r="12">
      <c r="A12" s="17" t="inlineStr">
        <is>
          <t>data breach prevention</t>
        </is>
      </c>
      <c r="B12" s="17" t="inlineStr">
        <is>
          <t>Long-tail</t>
        </is>
      </c>
      <c r="C12" s="18" t="n">
        <v>880</v>
      </c>
      <c r="D12" s="17" t="inlineStr">
        <is>
          <t>Informational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Body</t>
        </is>
      </c>
      <c r="H12" s="17" t="inlineStr"/>
    </row>
    <row r="13">
      <c r="A13" s="17" t="inlineStr">
        <is>
          <t>insider threat prevention</t>
        </is>
      </c>
      <c r="B13" s="17" t="inlineStr">
        <is>
          <t>Long-tail</t>
        </is>
      </c>
      <c r="C13" s="18" t="n">
        <v>1050</v>
      </c>
      <c r="D13" s="17" t="inlineStr">
        <is>
          <t>Commercial</t>
        </is>
      </c>
      <c r="E13" s="17" t="inlineStr">
        <is>
          <t>Moderate</t>
        </is>
      </c>
      <c r="F13" s="19" t="inlineStr">
        <is>
          <t>Existing</t>
        </is>
      </c>
      <c r="G13" s="17" t="inlineStr">
        <is>
          <t>H2 (insider threat section)</t>
        </is>
      </c>
      <c r="H13" s="17" t="inlineStr"/>
    </row>
    <row r="14">
      <c r="A14" s="17" t="inlineStr">
        <is>
          <t>data classification tools</t>
        </is>
      </c>
      <c r="B14" s="17" t="inlineStr">
        <is>
          <t>Long-tail</t>
        </is>
      </c>
      <c r="C14" s="18" t="n">
        <v>720</v>
      </c>
      <c r="D14" s="17" t="inlineStr">
        <is>
          <t>Informational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Step 1 paragraph</t>
        </is>
      </c>
      <c r="H14" s="17" t="inlineStr"/>
    </row>
    <row r="15">
      <c r="A15" s="17" t="inlineStr">
        <is>
          <t>GDPR cybersecurity compliance</t>
        </is>
      </c>
      <c r="B15" s="17" t="inlineStr">
        <is>
          <t>Compliance</t>
        </is>
      </c>
      <c r="C15" s="18" t="n">
        <v>2400</v>
      </c>
      <c r="D15" s="17" t="inlineStr">
        <is>
          <t>Commercial</t>
        </is>
      </c>
      <c r="E15" s="17" t="inlineStr">
        <is>
          <t>Moderate</t>
        </is>
      </c>
      <c r="F15" s="19" t="inlineStr">
        <is>
          <t>Existing</t>
        </is>
      </c>
      <c r="G15" s="17" t="inlineStr">
        <is>
          <t>H2 (compliance section)</t>
        </is>
      </c>
      <c r="H15" s="17" t="inlineStr"/>
    </row>
    <row r="16">
      <c r="A16" s="17" t="inlineStr">
        <is>
          <t>HIPAA data protection</t>
        </is>
      </c>
      <c r="B16" s="17" t="inlineStr">
        <is>
          <t>Compliance</t>
        </is>
      </c>
      <c r="C16" s="18" t="n">
        <v>590</v>
      </c>
      <c r="D16" s="17" t="inlineStr">
        <is>
          <t>Commercial</t>
        </is>
      </c>
      <c r="E16" s="17" t="inlineStr">
        <is>
          <t>Easy</t>
        </is>
      </c>
      <c r="F16" s="19" t="inlineStr">
        <is>
          <t>Existing</t>
        </is>
      </c>
      <c r="G16" s="17" t="inlineStr">
        <is>
          <t>Compliance section</t>
        </is>
      </c>
      <c r="H16" s="17" t="inlineStr"/>
    </row>
    <row r="17">
      <c r="A17" s="17" t="inlineStr">
        <is>
          <t>cloud DLP solutions</t>
        </is>
      </c>
      <c r="B17" s="17" t="inlineStr">
        <is>
          <t>Long-tail</t>
        </is>
      </c>
      <c r="C17" s="18" t="n">
        <v>390</v>
      </c>
      <c r="D17" s="17" t="inlineStr">
        <is>
          <t>Commercial</t>
        </is>
      </c>
      <c r="E17" s="17" t="inlineStr">
        <is>
          <t>Easy</t>
        </is>
      </c>
      <c r="F17" s="19" t="inlineStr">
        <is>
          <t>Existing</t>
        </is>
      </c>
      <c r="G17" s="17" t="inlineStr">
        <is>
          <t>Vendor table, Zscaler row</t>
        </is>
      </c>
      <c r="H17" s="17" t="inlineStr"/>
    </row>
    <row r="18">
      <c r="A18" s="17" t="inlineStr">
        <is>
          <t>data protection strategy for business</t>
        </is>
      </c>
      <c r="B18" s="17" t="inlineStr">
        <is>
          <t>Long-tail</t>
        </is>
      </c>
      <c r="C18" s="18" t="n">
        <v>320</v>
      </c>
      <c r="D18" s="17" t="inlineStr">
        <is>
          <t>Commercial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Compliance paragraph</t>
        </is>
      </c>
      <c r="H18" s="17" t="inlineStr"/>
    </row>
    <row r="19">
      <c r="A19" s="17" t="inlineStr">
        <is>
          <t>UAE PDPL compliance</t>
        </is>
      </c>
      <c r="B19" s="17" t="inlineStr">
        <is>
          <t>Compliance</t>
        </is>
      </c>
      <c r="C19" s="18" t="n">
        <v>110</v>
      </c>
      <c r="D19" s="17" t="inlineStr">
        <is>
          <t>Commercial</t>
        </is>
      </c>
      <c r="E19" s="17" t="inlineStr">
        <is>
          <t>Easy</t>
        </is>
      </c>
      <c r="F19" s="21" t="inlineStr">
        <is>
          <t>New</t>
        </is>
      </c>
      <c r="G19" s="17" t="inlineStr">
        <is>
          <t>H2 (compliance callout)</t>
        </is>
      </c>
      <c r="H19" s="17" t="inlineStr">
        <is>
          <t>Critical — audit flagged missing UAE PDPL.</t>
        </is>
      </c>
    </row>
    <row r="20">
      <c r="A20" s="17" t="inlineStr">
        <is>
          <t>PDPL data protection UAE</t>
        </is>
      </c>
      <c r="B20" s="17" t="inlineStr">
        <is>
          <t>Compliance</t>
        </is>
      </c>
      <c r="C20" s="18" t="n">
        <v>90</v>
      </c>
      <c r="D20" s="17" t="inlineStr">
        <is>
          <t>Commercial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Body</t>
        </is>
      </c>
      <c r="H20" s="17" t="inlineStr"/>
    </row>
    <row r="21">
      <c r="A21" s="17" t="inlineStr">
        <is>
          <t>SAMA data protection Saudi Arabia</t>
        </is>
      </c>
      <c r="B21" s="17" t="inlineStr">
        <is>
          <t>Compliance</t>
        </is>
      </c>
      <c r="C21" s="18" t="n">
        <v>70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Body</t>
        </is>
      </c>
      <c r="H21" s="17" t="inlineStr"/>
    </row>
    <row r="22">
      <c r="A22" s="17" t="inlineStr">
        <is>
          <t>DLP services UAE</t>
        </is>
      </c>
      <c r="B22" s="17" t="inlineStr">
        <is>
          <t>Geo</t>
        </is>
      </c>
      <c r="C22" s="18" t="n">
        <v>140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Meta description, H2</t>
        </is>
      </c>
      <c r="H22" s="17" t="inlineStr"/>
    </row>
    <row r="23">
      <c r="A23" s="17" t="inlineStr">
        <is>
          <t>data loss prevention Dubai</t>
        </is>
      </c>
      <c r="B23" s="17" t="inlineStr">
        <is>
          <t>Geo</t>
        </is>
      </c>
      <c r="C23" s="18" t="n">
        <v>170</v>
      </c>
      <c r="D23" s="17" t="inlineStr">
        <is>
          <t>Commercial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H2, CTA</t>
        </is>
      </c>
      <c r="H23" s="17" t="inlineStr"/>
    </row>
    <row r="24">
      <c r="A24" s="17" t="inlineStr">
        <is>
          <t>insider threat detection UAE</t>
        </is>
      </c>
      <c r="B24" s="17" t="inlineStr">
        <is>
          <t>Geo</t>
        </is>
      </c>
      <c r="C24" s="18" t="n">
        <v>90</v>
      </c>
      <c r="D24" s="17" t="inlineStr">
        <is>
          <t>Commercial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Body</t>
        </is>
      </c>
      <c r="H24" s="17" t="inlineStr"/>
    </row>
    <row r="25">
      <c r="A25" s="17" t="inlineStr">
        <is>
          <t>Microsoft Purview partner UAE</t>
        </is>
      </c>
      <c r="B25" s="17" t="inlineStr">
        <is>
          <t>Partner</t>
        </is>
      </c>
      <c r="C25" s="18" t="n">
        <v>70</v>
      </c>
      <c r="D25" s="17" t="inlineStr">
        <is>
          <t>Transactional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Vendor table</t>
        </is>
      </c>
      <c r="H25" s="17" t="inlineStr"/>
    </row>
    <row r="26">
      <c r="A26" s="17" t="inlineStr">
        <is>
          <t>Forcepoint partner Middle East</t>
        </is>
      </c>
      <c r="B26" s="17" t="inlineStr">
        <is>
          <t>Partner</t>
        </is>
      </c>
      <c r="C26" s="18" t="n">
        <v>50</v>
      </c>
      <c r="D26" s="17" t="inlineStr">
        <is>
          <t>Transactional</t>
        </is>
      </c>
      <c r="E26" s="17" t="inlineStr">
        <is>
          <t>Easy</t>
        </is>
      </c>
      <c r="F26" s="21" t="inlineStr">
        <is>
          <t>New</t>
        </is>
      </c>
      <c r="G26" s="17" t="inlineStr">
        <is>
          <t>Vendor table</t>
        </is>
      </c>
      <c r="H26" s="17" t="inlineStr"/>
    </row>
    <row r="27">
      <c r="A27" s="17" t="inlineStr">
        <is>
          <t>Microsoft Purview vs Symantec DLP</t>
        </is>
      </c>
      <c r="B27" s="17" t="inlineStr">
        <is>
          <t>Comparison</t>
        </is>
      </c>
      <c r="C27" s="18" t="n">
        <v>260</v>
      </c>
      <c r="D27" s="17" t="inlineStr">
        <is>
          <t>Informational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H3 comparison</t>
        </is>
      </c>
      <c r="H27" s="17" t="inlineStr"/>
    </row>
    <row r="28">
      <c r="A28" s="17" t="inlineStr">
        <is>
          <t>Forcepoint vs Digital Guardian</t>
        </is>
      </c>
      <c r="B28" s="17" t="inlineStr">
        <is>
          <t>Comparison</t>
        </is>
      </c>
      <c r="C28" s="18" t="n">
        <v>170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H3</t>
        </is>
      </c>
      <c r="H28" s="17" t="inlineStr"/>
    </row>
    <row r="29">
      <c r="A29" s="17" t="inlineStr">
        <is>
          <t>what is data loss prevention</t>
        </is>
      </c>
      <c r="B29" s="17" t="inlineStr">
        <is>
          <t>Question</t>
        </is>
      </c>
      <c r="C29" s="18" t="n">
        <v>1900</v>
      </c>
      <c r="D29" s="17" t="inlineStr">
        <is>
          <t>Informational</t>
        </is>
      </c>
      <c r="E29" s="17" t="inlineStr">
        <is>
          <t>Moderate</t>
        </is>
      </c>
      <c r="F29" s="21" t="inlineStr">
        <is>
          <t>New</t>
        </is>
      </c>
      <c r="G29" s="17" t="inlineStr">
        <is>
          <t>FAQ</t>
        </is>
      </c>
      <c r="H29" s="17" t="inlineStr"/>
    </row>
    <row r="30">
      <c r="A30" s="17" t="inlineStr">
        <is>
          <t>how to classify sensitive data</t>
        </is>
      </c>
      <c r="B30" s="17" t="inlineStr">
        <is>
          <t>Question</t>
        </is>
      </c>
      <c r="C30" s="18" t="n">
        <v>390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FAQ, step 1 body</t>
        </is>
      </c>
      <c r="H30" s="17" t="inlineStr"/>
    </row>
    <row r="31">
      <c r="A31" s="17" t="inlineStr">
        <is>
          <t>is Microsoft 365 DLP enough</t>
        </is>
      </c>
      <c r="B31" s="17" t="inlineStr">
        <is>
          <t>Question</t>
        </is>
      </c>
      <c r="C31" s="18" t="n">
        <v>260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3">
      <c r="A33" s="4" t="inlineStr">
        <is>
          <t>Total keywords:</t>
        </is>
      </c>
      <c r="B33" s="4">
        <f>COUNT(C7:C31)</f>
        <v/>
      </c>
    </row>
    <row r="34">
      <c r="A34" s="4" t="inlineStr">
        <is>
          <t>New keywords:</t>
        </is>
      </c>
      <c r="B34" s="4">
        <f>COUNTIF(F7:F31,"New")</f>
        <v/>
      </c>
    </row>
    <row r="35">
      <c r="A35" s="4" t="inlineStr">
        <is>
          <t>Revised keywords:</t>
        </is>
      </c>
      <c r="B35" s="4">
        <f>COUNTIF(F7:F31,"Revised")</f>
        <v/>
      </c>
    </row>
    <row r="36">
      <c r="A36" s="4" t="inlineStr">
        <is>
          <t>Total est. monthly volume:</t>
        </is>
      </c>
      <c r="B36" s="22">
        <f>SUM(C7:C31)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06 SASE SSE CASB</t>
        </is>
      </c>
    </row>
    <row r="2">
      <c r="A2" s="4" t="inlineStr">
        <is>
          <t>URL:  https://artiflexit.com/cybersecurity/workspace-protection-sse-sase</t>
        </is>
      </c>
    </row>
    <row r="3">
      <c r="A3" s="2" t="inlineStr">
        <is>
          <t>Meta Title (revised):  SASE &amp; Zero Trust UAE | ZTNA, CASB, SSE | Artiflex IT</t>
        </is>
      </c>
    </row>
    <row r="4">
      <c r="A4" s="2" t="inlineStr">
        <is>
          <t>Meta Description:  Secure UAE remote teams with SASE, ZTNA &amp; CASB. Replace legacy VPN. Free zero trust readiness assessment.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sase cybersecurity</t>
        </is>
      </c>
      <c r="B7" s="17" t="inlineStr">
        <is>
          <t>Primary</t>
        </is>
      </c>
      <c r="C7" s="18" t="n">
        <v>880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zero trust network access for business</t>
        </is>
      </c>
      <c r="B8" s="17" t="inlineStr">
        <is>
          <t>Secondary</t>
        </is>
      </c>
      <c r="C8" s="18" t="n">
        <v>720</v>
      </c>
      <c r="D8" s="17" t="inlineStr">
        <is>
          <t>Commercial</t>
        </is>
      </c>
      <c r="E8" s="17" t="inlineStr">
        <is>
          <t>Moderate</t>
        </is>
      </c>
      <c r="F8" s="19" t="inlineStr">
        <is>
          <t>Existing</t>
        </is>
      </c>
      <c r="G8" s="17" t="inlineStr">
        <is>
          <t>H2 (ZTNA section)</t>
        </is>
      </c>
      <c r="H8" s="17" t="inlineStr"/>
    </row>
    <row r="9">
      <c r="A9" s="17" t="inlineStr">
        <is>
          <t>cloud access security broker</t>
        </is>
      </c>
      <c r="B9" s="17" t="inlineStr">
        <is>
          <t>Secondary</t>
        </is>
      </c>
      <c r="C9" s="18" t="n">
        <v>2400</v>
      </c>
      <c r="D9" s="17" t="inlineStr">
        <is>
          <t>Informational</t>
        </is>
      </c>
      <c r="E9" s="17" t="inlineStr">
        <is>
          <t>Moderate</t>
        </is>
      </c>
      <c r="F9" s="19" t="inlineStr">
        <is>
          <t>Existing</t>
        </is>
      </c>
      <c r="G9" s="17" t="inlineStr">
        <is>
          <t>H2 (CASB section)</t>
        </is>
      </c>
      <c r="H9" s="17" t="inlineStr"/>
    </row>
    <row r="10">
      <c r="A10" s="17" t="inlineStr">
        <is>
          <t>secure access service edge</t>
        </is>
      </c>
      <c r="B10" s="17" t="inlineStr">
        <is>
          <t>Long-tail</t>
        </is>
      </c>
      <c r="C10" s="18" t="n">
        <v>2900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 (What is SASE)</t>
        </is>
      </c>
      <c r="H10" s="17" t="inlineStr"/>
    </row>
    <row r="11">
      <c r="A11" s="17" t="inlineStr">
        <is>
          <t>zero trust security platforms</t>
        </is>
      </c>
      <c r="B11" s="17" t="inlineStr">
        <is>
          <t>Long-tail</t>
        </is>
      </c>
      <c r="C11" s="18" t="n">
        <v>1000</v>
      </c>
      <c r="D11" s="17" t="inlineStr">
        <is>
          <t>Commercial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H2 (implementation)</t>
        </is>
      </c>
      <c r="H11" s="17" t="inlineStr"/>
    </row>
    <row r="12">
      <c r="A12" s="17" t="inlineStr">
        <is>
          <t>SaaS security</t>
        </is>
      </c>
      <c r="B12" s="17" t="inlineStr">
        <is>
          <t>Long-tail</t>
        </is>
      </c>
      <c r="C12" s="18" t="n">
        <v>2900</v>
      </c>
      <c r="D12" s="17" t="inlineStr">
        <is>
          <t>Informational</t>
        </is>
      </c>
      <c r="E12" s="17" t="inlineStr">
        <is>
          <t>Hard</t>
        </is>
      </c>
      <c r="F12" s="19" t="inlineStr">
        <is>
          <t>Existing</t>
        </is>
      </c>
      <c r="G12" s="17" t="inlineStr">
        <is>
          <t>CASB section body</t>
        </is>
      </c>
      <c r="H12" s="17" t="inlineStr"/>
    </row>
    <row r="13">
      <c r="A13" s="17" t="inlineStr">
        <is>
          <t>remote work security solutions</t>
        </is>
      </c>
      <c r="B13" s="17" t="inlineStr">
        <is>
          <t>Long-tail</t>
        </is>
      </c>
      <c r="C13" s="18" t="n">
        <v>590</v>
      </c>
      <c r="D13" s="17" t="inlineStr">
        <is>
          <t>Commercial</t>
        </is>
      </c>
      <c r="E13" s="17" t="inlineStr">
        <is>
          <t>Easy</t>
        </is>
      </c>
      <c r="F13" s="19" t="inlineStr">
        <is>
          <t>Existing</t>
        </is>
      </c>
      <c r="G13" s="17" t="inlineStr">
        <is>
          <t>Body, opening story</t>
        </is>
      </c>
      <c r="H13" s="17" t="inlineStr"/>
    </row>
    <row r="14">
      <c r="A14" s="17" t="inlineStr">
        <is>
          <t>ZTNA vs VPN</t>
        </is>
      </c>
      <c r="B14" s="17" t="inlineStr">
        <is>
          <t>Long-tail</t>
        </is>
      </c>
      <c r="C14" s="18" t="n">
        <v>480</v>
      </c>
      <c r="D14" s="17" t="inlineStr">
        <is>
          <t>Informational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Comparison table</t>
        </is>
      </c>
      <c r="H14" s="17" t="inlineStr"/>
    </row>
    <row r="15">
      <c r="A15" s="17" t="inlineStr">
        <is>
          <t>cloud security posture management</t>
        </is>
      </c>
      <c r="B15" s="17" t="inlineStr">
        <is>
          <t>Long-tail</t>
        </is>
      </c>
      <c r="C15" s="18" t="n">
        <v>690</v>
      </c>
      <c r="D15" s="17" t="inlineStr">
        <is>
          <t>Informational</t>
        </is>
      </c>
      <c r="E15" s="17" t="inlineStr">
        <is>
          <t>Moderate</t>
        </is>
      </c>
      <c r="F15" s="20" t="inlineStr">
        <is>
          <t>Revised</t>
        </is>
      </c>
      <c r="G15" s="17" t="inlineStr">
        <is>
          <t>Internal link to NEW CSPM pillar</t>
        </is>
      </c>
      <c r="H15" s="17" t="inlineStr">
        <is>
          <t>Audit flagged CSPM as missing pillar page; link out.</t>
        </is>
      </c>
    </row>
    <row r="16">
      <c r="A16" s="17" t="inlineStr">
        <is>
          <t>secure web gateway</t>
        </is>
      </c>
      <c r="B16" s="17" t="inlineStr">
        <is>
          <t>Long-tail</t>
        </is>
      </c>
      <c r="C16" s="18" t="n">
        <v>1300</v>
      </c>
      <c r="D16" s="17" t="inlineStr">
        <is>
          <t>Informational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Phase 4 section</t>
        </is>
      </c>
      <c r="H16" s="17" t="inlineStr"/>
    </row>
    <row r="17">
      <c r="A17" s="17" t="inlineStr">
        <is>
          <t>hybrid cloud security</t>
        </is>
      </c>
      <c r="B17" s="17" t="inlineStr">
        <is>
          <t>Long-tail</t>
        </is>
      </c>
      <c r="C17" s="18" t="n">
        <v>720</v>
      </c>
      <c r="D17" s="17" t="inlineStr">
        <is>
          <t>Informational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Body</t>
        </is>
      </c>
      <c r="H17" s="17" t="inlineStr"/>
    </row>
    <row r="18">
      <c r="A18" s="17" t="inlineStr">
        <is>
          <t>workspace security for remote teams</t>
        </is>
      </c>
      <c r="B18" s="17" t="inlineStr">
        <is>
          <t>Long-tail</t>
        </is>
      </c>
      <c r="C18" s="18" t="n">
        <v>320</v>
      </c>
      <c r="D18" s="17" t="inlineStr">
        <is>
          <t>Commercial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H2</t>
        </is>
      </c>
      <c r="H18" s="17" t="inlineStr"/>
    </row>
    <row r="19">
      <c r="A19" s="17" t="inlineStr">
        <is>
          <t>how to implement zero trust</t>
        </is>
      </c>
      <c r="B19" s="17" t="inlineStr">
        <is>
          <t>Long-tail</t>
        </is>
      </c>
      <c r="C19" s="18" t="n">
        <v>480</v>
      </c>
      <c r="D19" s="17" t="inlineStr">
        <is>
          <t>Informational</t>
        </is>
      </c>
      <c r="E19" s="17" t="inlineStr">
        <is>
          <t>Moderate</t>
        </is>
      </c>
      <c r="F19" s="19" t="inlineStr">
        <is>
          <t>Existing</t>
        </is>
      </c>
      <c r="G19" s="17" t="inlineStr">
        <is>
          <t>H2 (phased approach)</t>
        </is>
      </c>
      <c r="H19" s="17" t="inlineStr"/>
    </row>
    <row r="20">
      <c r="A20" s="17" t="inlineStr">
        <is>
          <t>SASE services UAE</t>
        </is>
      </c>
      <c r="B20" s="17" t="inlineStr">
        <is>
          <t>Geo</t>
        </is>
      </c>
      <c r="C20" s="18" t="n">
        <v>140</v>
      </c>
      <c r="D20" s="17" t="inlineStr">
        <is>
          <t>Commercial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Meta description, H2</t>
        </is>
      </c>
      <c r="H20" s="17" t="inlineStr"/>
    </row>
    <row r="21">
      <c r="A21" s="17" t="inlineStr">
        <is>
          <t>zero trust UAE</t>
        </is>
      </c>
      <c r="B21" s="17" t="inlineStr">
        <is>
          <t>Geo</t>
        </is>
      </c>
      <c r="C21" s="18" t="n">
        <v>90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Body</t>
        </is>
      </c>
      <c r="H21" s="17" t="inlineStr"/>
    </row>
    <row r="22">
      <c r="A22" s="17" t="inlineStr">
        <is>
          <t>SASE Dubai</t>
        </is>
      </c>
      <c r="B22" s="17" t="inlineStr">
        <is>
          <t>Geo</t>
        </is>
      </c>
      <c r="C22" s="18" t="n">
        <v>110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H2, CTA</t>
        </is>
      </c>
      <c r="H22" s="17" t="inlineStr"/>
    </row>
    <row r="23">
      <c r="A23" s="17" t="inlineStr">
        <is>
          <t>ZTNA Dubai</t>
        </is>
      </c>
      <c r="B23" s="17" t="inlineStr">
        <is>
          <t>Geo</t>
        </is>
      </c>
      <c r="C23" s="18" t="n">
        <v>70</v>
      </c>
      <c r="D23" s="17" t="inlineStr">
        <is>
          <t>Commercial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Body</t>
        </is>
      </c>
      <c r="H23" s="17" t="inlineStr"/>
    </row>
    <row r="24">
      <c r="A24" s="17" t="inlineStr">
        <is>
          <t>Zscaler partner UAE</t>
        </is>
      </c>
      <c r="B24" s="17" t="inlineStr">
        <is>
          <t>Partner</t>
        </is>
      </c>
      <c r="C24" s="18" t="n">
        <v>170</v>
      </c>
      <c r="D24" s="17" t="inlineStr">
        <is>
          <t>Transactional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Vendor table</t>
        </is>
      </c>
      <c r="H24" s="17" t="inlineStr">
        <is>
          <t>Validate partner tier.</t>
        </is>
      </c>
    </row>
    <row r="25">
      <c r="A25" s="17" t="inlineStr">
        <is>
          <t>Netskope partner UAE</t>
        </is>
      </c>
      <c r="B25" s="17" t="inlineStr">
        <is>
          <t>Partner</t>
        </is>
      </c>
      <c r="C25" s="18" t="n">
        <v>90</v>
      </c>
      <c r="D25" s="17" t="inlineStr">
        <is>
          <t>Transactional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Vendor table</t>
        </is>
      </c>
      <c r="H25" s="17" t="inlineStr"/>
    </row>
    <row r="26">
      <c r="A26" s="17" t="inlineStr">
        <is>
          <t>Cloudflare One partner Middle East</t>
        </is>
      </c>
      <c r="B26" s="17" t="inlineStr">
        <is>
          <t>Partner</t>
        </is>
      </c>
      <c r="C26" s="18" t="n">
        <v>50</v>
      </c>
      <c r="D26" s="17" t="inlineStr">
        <is>
          <t>Transactional</t>
        </is>
      </c>
      <c r="E26" s="17" t="inlineStr">
        <is>
          <t>Easy</t>
        </is>
      </c>
      <c r="F26" s="21" t="inlineStr">
        <is>
          <t>New</t>
        </is>
      </c>
      <c r="G26" s="17" t="inlineStr">
        <is>
          <t>Vendor table</t>
        </is>
      </c>
      <c r="H26" s="17" t="inlineStr"/>
    </row>
    <row r="27">
      <c r="A27" s="17" t="inlineStr">
        <is>
          <t>Zscaler vs Netskope</t>
        </is>
      </c>
      <c r="B27" s="17" t="inlineStr">
        <is>
          <t>Comparison</t>
        </is>
      </c>
      <c r="C27" s="18" t="n">
        <v>480</v>
      </c>
      <c r="D27" s="17" t="inlineStr">
        <is>
          <t>Informational</t>
        </is>
      </c>
      <c r="E27" s="17" t="inlineStr">
        <is>
          <t>Moderate</t>
        </is>
      </c>
      <c r="F27" s="21" t="inlineStr">
        <is>
          <t>New</t>
        </is>
      </c>
      <c r="G27" s="17" t="inlineStr">
        <is>
          <t>H3 comparison block</t>
        </is>
      </c>
      <c r="H27" s="17" t="inlineStr"/>
    </row>
    <row r="28">
      <c r="A28" s="17" t="inlineStr">
        <is>
          <t>Zscaler vs Cloudflare One</t>
        </is>
      </c>
      <c r="B28" s="17" t="inlineStr">
        <is>
          <t>Comparison</t>
        </is>
      </c>
      <c r="C28" s="18" t="n">
        <v>210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H3 comparison block</t>
        </is>
      </c>
      <c r="H28" s="17" t="inlineStr"/>
    </row>
    <row r="29">
      <c r="A29" s="17" t="inlineStr">
        <is>
          <t>Palo Alto Prisma Access vs Zscaler</t>
        </is>
      </c>
      <c r="B29" s="17" t="inlineStr">
        <is>
          <t>Comparison</t>
        </is>
      </c>
      <c r="C29" s="18" t="n">
        <v>390</v>
      </c>
      <c r="D29" s="17" t="inlineStr">
        <is>
          <t>Informational</t>
        </is>
      </c>
      <c r="E29" s="17" t="inlineStr">
        <is>
          <t>Moderate</t>
        </is>
      </c>
      <c r="F29" s="21" t="inlineStr">
        <is>
          <t>New</t>
        </is>
      </c>
      <c r="G29" s="17" t="inlineStr">
        <is>
          <t>H3 comparison block</t>
        </is>
      </c>
      <c r="H29" s="17" t="inlineStr"/>
    </row>
    <row r="30">
      <c r="A30" s="17" t="inlineStr">
        <is>
          <t>what is SASE</t>
        </is>
      </c>
      <c r="B30" s="17" t="inlineStr">
        <is>
          <t>Question</t>
        </is>
      </c>
      <c r="C30" s="18" t="n">
        <v>3600</v>
      </c>
      <c r="D30" s="17" t="inlineStr">
        <is>
          <t>Informational</t>
        </is>
      </c>
      <c r="E30" s="17" t="inlineStr">
        <is>
          <t>Hard</t>
        </is>
      </c>
      <c r="F30" s="21" t="inlineStr">
        <is>
          <t>New</t>
        </is>
      </c>
      <c r="G30" s="17" t="inlineStr">
        <is>
          <t>FAQ</t>
        </is>
      </c>
      <c r="H30" s="17" t="inlineStr">
        <is>
          <t>PAA driver — expect high impressions.</t>
        </is>
      </c>
    </row>
    <row r="31">
      <c r="A31" s="17" t="inlineStr">
        <is>
          <t>is ZTNA the same as zero trust</t>
        </is>
      </c>
      <c r="B31" s="17" t="inlineStr">
        <is>
          <t>Question</t>
        </is>
      </c>
      <c r="C31" s="18" t="n">
        <v>260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2">
      <c r="A32" s="17" t="inlineStr">
        <is>
          <t>SASE vs SSE</t>
        </is>
      </c>
      <c r="B32" s="17" t="inlineStr">
        <is>
          <t>Comparison</t>
        </is>
      </c>
      <c r="C32" s="18" t="n">
        <v>390</v>
      </c>
      <c r="D32" s="17" t="inlineStr">
        <is>
          <t>Informational</t>
        </is>
      </c>
      <c r="E32" s="17" t="inlineStr">
        <is>
          <t>Easy</t>
        </is>
      </c>
      <c r="F32" s="21" t="inlineStr">
        <is>
          <t>New</t>
        </is>
      </c>
      <c r="G32" s="17" t="inlineStr">
        <is>
          <t>H3 or FAQ</t>
        </is>
      </c>
      <c r="H32" s="17" t="inlineStr"/>
    </row>
    <row r="34">
      <c r="A34" s="4" t="inlineStr">
        <is>
          <t>Total keywords:</t>
        </is>
      </c>
      <c r="B34" s="4">
        <f>COUNT(C7:C32)</f>
        <v/>
      </c>
    </row>
    <row r="35">
      <c r="A35" s="4" t="inlineStr">
        <is>
          <t>New keywords:</t>
        </is>
      </c>
      <c r="B35" s="4">
        <f>COUNTIF(F7:F32,"New")</f>
        <v/>
      </c>
    </row>
    <row r="36">
      <c r="A36" s="4" t="inlineStr">
        <is>
          <t>Revised keywords:</t>
        </is>
      </c>
      <c r="B36" s="4">
        <f>COUNTIF(F7:F32,"Revised")</f>
        <v/>
      </c>
    </row>
    <row r="37">
      <c r="A37" s="4" t="inlineStr">
        <is>
          <t>Total est. monthly volume:</t>
        </is>
      </c>
      <c r="B37" s="22">
        <f>SUM(C7:C32)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07 SIEM SOAR MDR</t>
        </is>
      </c>
    </row>
    <row r="2">
      <c r="A2" s="4" t="inlineStr">
        <is>
          <t>URL:  https://artiflexit.com/cybersecurity/siem-soar-mdr</t>
        </is>
      </c>
    </row>
    <row r="3">
      <c r="A3" s="2" t="inlineStr">
        <is>
          <t>Meta Title (revised):  SIEM &amp; MDR UAE | 24/7 Security Monitoring | Artiflex IT</t>
        </is>
      </c>
    </row>
    <row r="4">
      <c r="A4" s="2" t="inlineStr">
        <is>
          <t>Meta Description:  SIEM, SOAR &amp; MDR for UAE businesses. 24/7 SOC-as-a-Service with Splunk, Sentinel &amp; CrowdStrike. Free assessment.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siem cyber security</t>
        </is>
      </c>
      <c r="B7" s="17" t="inlineStr">
        <is>
          <t>Primary</t>
        </is>
      </c>
      <c r="C7" s="18" t="n">
        <v>4400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mdr cybersecurity</t>
        </is>
      </c>
      <c r="B8" s="17" t="inlineStr">
        <is>
          <t>Secondary</t>
        </is>
      </c>
      <c r="C8" s="18" t="n">
        <v>1600</v>
      </c>
      <c r="D8" s="17" t="inlineStr">
        <is>
          <t>Commercial</t>
        </is>
      </c>
      <c r="E8" s="17" t="inlineStr">
        <is>
          <t>Moderate</t>
        </is>
      </c>
      <c r="F8" s="19" t="inlineStr">
        <is>
          <t>Existing</t>
        </is>
      </c>
      <c r="G8" s="17" t="inlineStr">
        <is>
          <t>H2 (MDR section)</t>
        </is>
      </c>
      <c r="H8" s="17" t="inlineStr"/>
    </row>
    <row r="9">
      <c r="A9" s="17" t="inlineStr">
        <is>
          <t>SIEM solutions</t>
        </is>
      </c>
      <c r="B9" s="17" t="inlineStr">
        <is>
          <t>Secondary</t>
        </is>
      </c>
      <c r="C9" s="18" t="n">
        <v>5400</v>
      </c>
      <c r="D9" s="17" t="inlineStr">
        <is>
          <t>Commercial</t>
        </is>
      </c>
      <c r="E9" s="17" t="inlineStr">
        <is>
          <t>Hard</t>
        </is>
      </c>
      <c r="F9" s="19" t="inlineStr">
        <is>
          <t>Existing</t>
        </is>
      </c>
      <c r="G9" s="17" t="inlineStr">
        <is>
          <t>H2, body</t>
        </is>
      </c>
      <c r="H9" s="17" t="inlineStr"/>
    </row>
    <row r="10">
      <c r="A10" s="17" t="inlineStr">
        <is>
          <t>security orchestration tools</t>
        </is>
      </c>
      <c r="B10" s="17" t="inlineStr">
        <is>
          <t>Long-tail</t>
        </is>
      </c>
      <c r="C10" s="18" t="n">
        <v>1300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 (SOAR section)</t>
        </is>
      </c>
      <c r="H10" s="17" t="inlineStr"/>
    </row>
    <row r="11">
      <c r="A11" s="17" t="inlineStr">
        <is>
          <t>managed detection and response</t>
        </is>
      </c>
      <c r="B11" s="17" t="inlineStr">
        <is>
          <t>Long-tail</t>
        </is>
      </c>
      <c r="C11" s="18" t="n">
        <v>1100</v>
      </c>
      <c r="D11" s="17" t="inlineStr">
        <is>
          <t>Commercial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H2 (MDR section)</t>
        </is>
      </c>
      <c r="H11" s="17" t="inlineStr"/>
    </row>
    <row r="12">
      <c r="A12" s="17" t="inlineStr">
        <is>
          <t>cybersecurity monitoring software</t>
        </is>
      </c>
      <c r="B12" s="17" t="inlineStr">
        <is>
          <t>Long-tail</t>
        </is>
      </c>
      <c r="C12" s="18" t="n">
        <v>1900</v>
      </c>
      <c r="D12" s="17" t="inlineStr">
        <is>
          <t>Commercial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Body</t>
        </is>
      </c>
      <c r="H12" s="17" t="inlineStr"/>
    </row>
    <row r="13">
      <c r="A13" s="17" t="inlineStr">
        <is>
          <t>threat detection tools</t>
        </is>
      </c>
      <c r="B13" s="17" t="inlineStr">
        <is>
          <t>Long-tail</t>
        </is>
      </c>
      <c r="C13" s="18" t="n">
        <v>3600</v>
      </c>
      <c r="D13" s="17" t="inlineStr">
        <is>
          <t>Informational</t>
        </is>
      </c>
      <c r="E13" s="17" t="inlineStr">
        <is>
          <t>Moderate</t>
        </is>
      </c>
      <c r="F13" s="19" t="inlineStr">
        <is>
          <t>Existing</t>
        </is>
      </c>
      <c r="G13" s="17" t="inlineStr">
        <is>
          <t>H2 (threat detection section)</t>
        </is>
      </c>
      <c r="H13" s="17" t="inlineStr"/>
    </row>
    <row r="14">
      <c r="A14" s="17" t="inlineStr">
        <is>
          <t>SIEM vs SOAR vs MDR</t>
        </is>
      </c>
      <c r="B14" s="17" t="inlineStr">
        <is>
          <t>Long-tail</t>
        </is>
      </c>
      <c r="C14" s="18" t="n">
        <v>590</v>
      </c>
      <c r="D14" s="17" t="inlineStr">
        <is>
          <t>Informational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H2 (comparison)</t>
        </is>
      </c>
      <c r="H14" s="17" t="inlineStr"/>
    </row>
    <row r="15">
      <c r="A15" s="17" t="inlineStr">
        <is>
          <t>best SIEM tools for business</t>
        </is>
      </c>
      <c r="B15" s="17" t="inlineStr">
        <is>
          <t>Long-tail</t>
        </is>
      </c>
      <c r="C15" s="18" t="n">
        <v>480</v>
      </c>
      <c r="D15" s="17" t="inlineStr">
        <is>
          <t>Commercial</t>
        </is>
      </c>
      <c r="E15" s="17" t="inlineStr">
        <is>
          <t>Easy</t>
        </is>
      </c>
      <c r="F15" s="19" t="inlineStr">
        <is>
          <t>Existing</t>
        </is>
      </c>
      <c r="G15" s="17" t="inlineStr">
        <is>
          <t>Vendor comparison table</t>
        </is>
      </c>
      <c r="H15" s="17" t="inlineStr"/>
    </row>
    <row r="16">
      <c r="A16" s="17" t="inlineStr">
        <is>
          <t>SOC as a service</t>
        </is>
      </c>
      <c r="B16" s="17" t="inlineStr">
        <is>
          <t>Long-tail</t>
        </is>
      </c>
      <c r="C16" s="18" t="n">
        <v>880</v>
      </c>
      <c r="D16" s="17" t="inlineStr">
        <is>
          <t>Commercial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MDR section</t>
        </is>
      </c>
      <c r="H16" s="17" t="inlineStr"/>
    </row>
    <row r="17">
      <c r="A17" s="17" t="inlineStr">
        <is>
          <t>cybersecurity automation tools</t>
        </is>
      </c>
      <c r="B17" s="17" t="inlineStr">
        <is>
          <t>Long-tail</t>
        </is>
      </c>
      <c r="C17" s="18" t="n">
        <v>880</v>
      </c>
      <c r="D17" s="17" t="inlineStr">
        <is>
          <t>Informational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SOAR section</t>
        </is>
      </c>
      <c r="H17" s="17" t="inlineStr"/>
    </row>
    <row r="18">
      <c r="A18" s="17" t="inlineStr">
        <is>
          <t>24/7 security monitoring</t>
        </is>
      </c>
      <c r="B18" s="17" t="inlineStr">
        <is>
          <t>Long-tail</t>
        </is>
      </c>
      <c r="C18" s="18" t="n">
        <v>590</v>
      </c>
      <c r="D18" s="17" t="inlineStr">
        <is>
          <t>Commercial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Meta description, MDR body</t>
        </is>
      </c>
      <c r="H18" s="17" t="inlineStr"/>
    </row>
    <row r="19">
      <c r="A19" s="17" t="inlineStr">
        <is>
          <t>AI threat detection</t>
        </is>
      </c>
      <c r="B19" s="17" t="inlineStr">
        <is>
          <t>Long-tail</t>
        </is>
      </c>
      <c r="C19" s="18" t="n">
        <v>1900</v>
      </c>
      <c r="D19" s="17" t="inlineStr">
        <is>
          <t>Informational</t>
        </is>
      </c>
      <c r="E19" s="17" t="inlineStr">
        <is>
          <t>Moderate</t>
        </is>
      </c>
      <c r="F19" s="19" t="inlineStr">
        <is>
          <t>Existing</t>
        </is>
      </c>
      <c r="G19" s="17" t="inlineStr">
        <is>
          <t>H2 (AI section)</t>
        </is>
      </c>
      <c r="H19" s="17" t="inlineStr"/>
    </row>
    <row r="20">
      <c r="A20" s="17" t="inlineStr">
        <is>
          <t>incident response services</t>
        </is>
      </c>
      <c r="B20" s="17" t="inlineStr">
        <is>
          <t>Long-tail</t>
        </is>
      </c>
      <c r="C20" s="18" t="n">
        <v>720</v>
      </c>
      <c r="D20" s="17" t="inlineStr">
        <is>
          <t>Commercial</t>
        </is>
      </c>
      <c r="E20" s="17" t="inlineStr">
        <is>
          <t>Moderate</t>
        </is>
      </c>
      <c r="F20" s="19" t="inlineStr">
        <is>
          <t>Existing</t>
        </is>
      </c>
      <c r="G20" s="17" t="inlineStr">
        <is>
          <t>H2 (incident response)</t>
        </is>
      </c>
      <c r="H20" s="17" t="inlineStr"/>
    </row>
    <row r="21">
      <c r="A21" s="17" t="inlineStr">
        <is>
          <t>MDR services UAE</t>
        </is>
      </c>
      <c r="B21" s="17" t="inlineStr">
        <is>
          <t>Geo</t>
        </is>
      </c>
      <c r="C21" s="18" t="n">
        <v>170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Meta description, primary CTA</t>
        </is>
      </c>
      <c r="H21" s="17" t="inlineStr"/>
    </row>
    <row r="22">
      <c r="A22" s="17" t="inlineStr">
        <is>
          <t>SOC as a service UAE</t>
        </is>
      </c>
      <c r="B22" s="17" t="inlineStr">
        <is>
          <t>Geo</t>
        </is>
      </c>
      <c r="C22" s="18" t="n">
        <v>110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Body</t>
        </is>
      </c>
      <c r="H22" s="17" t="inlineStr"/>
    </row>
    <row r="23">
      <c r="A23" s="17" t="inlineStr">
        <is>
          <t>SIEM services Dubai</t>
        </is>
      </c>
      <c r="B23" s="17" t="inlineStr">
        <is>
          <t>Geo</t>
        </is>
      </c>
      <c r="C23" s="18" t="n">
        <v>140</v>
      </c>
      <c r="D23" s="17" t="inlineStr">
        <is>
          <t>Commercial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H2</t>
        </is>
      </c>
      <c r="H23" s="17" t="inlineStr"/>
    </row>
    <row r="24">
      <c r="A24" s="17" t="inlineStr">
        <is>
          <t>24/7 security monitoring UAE</t>
        </is>
      </c>
      <c r="B24" s="17" t="inlineStr">
        <is>
          <t>Geo</t>
        </is>
      </c>
      <c r="C24" s="18" t="n">
        <v>90</v>
      </c>
      <c r="D24" s="17" t="inlineStr">
        <is>
          <t>Commercial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Body</t>
        </is>
      </c>
      <c r="H24" s="17" t="inlineStr"/>
    </row>
    <row r="25">
      <c r="A25" s="17" t="inlineStr">
        <is>
          <t>Microsoft Sentinel partner UAE</t>
        </is>
      </c>
      <c r="B25" s="17" t="inlineStr">
        <is>
          <t>Partner</t>
        </is>
      </c>
      <c r="C25" s="18" t="n">
        <v>110</v>
      </c>
      <c r="D25" s="17" t="inlineStr">
        <is>
          <t>Transactional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Vendor table</t>
        </is>
      </c>
      <c r="H25" s="17" t="inlineStr"/>
    </row>
    <row r="26">
      <c r="A26" s="17" t="inlineStr">
        <is>
          <t>Splunk partner UAE</t>
        </is>
      </c>
      <c r="B26" s="17" t="inlineStr">
        <is>
          <t>Partner</t>
        </is>
      </c>
      <c r="C26" s="18" t="n">
        <v>90</v>
      </c>
      <c r="D26" s="17" t="inlineStr">
        <is>
          <t>Transactional</t>
        </is>
      </c>
      <c r="E26" s="17" t="inlineStr">
        <is>
          <t>Easy</t>
        </is>
      </c>
      <c r="F26" s="21" t="inlineStr">
        <is>
          <t>New</t>
        </is>
      </c>
      <c r="G26" s="17" t="inlineStr">
        <is>
          <t>Vendor table</t>
        </is>
      </c>
      <c r="H26" s="17" t="inlineStr"/>
    </row>
    <row r="27">
      <c r="A27" s="17" t="inlineStr">
        <is>
          <t>Arctic Wolf MDR Middle East</t>
        </is>
      </c>
      <c r="B27" s="17" t="inlineStr">
        <is>
          <t>Partner</t>
        </is>
      </c>
      <c r="C27" s="18" t="n">
        <v>40</v>
      </c>
      <c r="D27" s="17" t="inlineStr">
        <is>
          <t>Transactional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Vendor table</t>
        </is>
      </c>
      <c r="H27" s="17" t="inlineStr"/>
    </row>
    <row r="28">
      <c r="A28" s="17" t="inlineStr">
        <is>
          <t>Splunk vs Microsoft Sentinel</t>
        </is>
      </c>
      <c r="B28" s="17" t="inlineStr">
        <is>
          <t>Comparison</t>
        </is>
      </c>
      <c r="C28" s="18" t="n">
        <v>720</v>
      </c>
      <c r="D28" s="17" t="inlineStr">
        <is>
          <t>Informational</t>
        </is>
      </c>
      <c r="E28" s="17" t="inlineStr">
        <is>
          <t>Moderate</t>
        </is>
      </c>
      <c r="F28" s="21" t="inlineStr">
        <is>
          <t>New</t>
        </is>
      </c>
      <c r="G28" s="17" t="inlineStr">
        <is>
          <t>H3 comparison block</t>
        </is>
      </c>
      <c r="H28" s="17" t="inlineStr">
        <is>
          <t>Top PAA.</t>
        </is>
      </c>
    </row>
    <row r="29">
      <c r="A29" s="17" t="inlineStr">
        <is>
          <t>Microsoft Sentinel vs QRadar</t>
        </is>
      </c>
      <c r="B29" s="17" t="inlineStr">
        <is>
          <t>Comparison</t>
        </is>
      </c>
      <c r="C29" s="18" t="n">
        <v>260</v>
      </c>
      <c r="D29" s="17" t="inlineStr">
        <is>
          <t>Informational</t>
        </is>
      </c>
      <c r="E29" s="17" t="inlineStr">
        <is>
          <t>Easy</t>
        </is>
      </c>
      <c r="F29" s="21" t="inlineStr">
        <is>
          <t>New</t>
        </is>
      </c>
      <c r="G29" s="17" t="inlineStr">
        <is>
          <t>H3</t>
        </is>
      </c>
      <c r="H29" s="17" t="inlineStr"/>
    </row>
    <row r="30">
      <c r="A30" s="17" t="inlineStr">
        <is>
          <t>CrowdStrike Falcon Complete vs Arctic Wolf</t>
        </is>
      </c>
      <c r="B30" s="17" t="inlineStr">
        <is>
          <t>Comparison</t>
        </is>
      </c>
      <c r="C30" s="18" t="n">
        <v>210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H3</t>
        </is>
      </c>
      <c r="H30" s="17" t="inlineStr"/>
    </row>
    <row r="31">
      <c r="A31" s="17" t="inlineStr">
        <is>
          <t>what is the difference between SIEM and SOAR</t>
        </is>
      </c>
      <c r="B31" s="17" t="inlineStr">
        <is>
          <t>Question</t>
        </is>
      </c>
      <c r="C31" s="18" t="n">
        <v>390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2">
      <c r="A32" s="17" t="inlineStr">
        <is>
          <t>do I need SIEM or MDR</t>
        </is>
      </c>
      <c r="B32" s="17" t="inlineStr">
        <is>
          <t>Question</t>
        </is>
      </c>
      <c r="C32" s="18" t="n">
        <v>320</v>
      </c>
      <c r="D32" s="17" t="inlineStr">
        <is>
          <t>Informational</t>
        </is>
      </c>
      <c r="E32" s="17" t="inlineStr">
        <is>
          <t>Easy</t>
        </is>
      </c>
      <c r="F32" s="21" t="inlineStr">
        <is>
          <t>New</t>
        </is>
      </c>
      <c r="G32" s="17" t="inlineStr">
        <is>
          <t>FAQ</t>
        </is>
      </c>
      <c r="H32" s="17" t="inlineStr"/>
    </row>
    <row r="33">
      <c r="A33" s="17" t="inlineStr">
        <is>
          <t>how much does MDR cost</t>
        </is>
      </c>
      <c r="B33" s="17" t="inlineStr">
        <is>
          <t>Question</t>
        </is>
      </c>
      <c r="C33" s="18" t="n">
        <v>260</v>
      </c>
      <c r="D33" s="17" t="inlineStr">
        <is>
          <t>Commercial</t>
        </is>
      </c>
      <c r="E33" s="17" t="inlineStr">
        <is>
          <t>Easy</t>
        </is>
      </c>
      <c r="F33" s="21" t="inlineStr">
        <is>
          <t>New</t>
        </is>
      </c>
      <c r="G33" s="17" t="inlineStr">
        <is>
          <t>FAQ (ranges only)</t>
        </is>
      </c>
      <c r="H33" s="17" t="inlineStr"/>
    </row>
    <row r="34">
      <c r="A34" s="17" t="inlineStr">
        <is>
          <t>NESA SOC requirements UAE</t>
        </is>
      </c>
      <c r="B34" s="17" t="inlineStr">
        <is>
          <t>Compliance</t>
        </is>
      </c>
      <c r="C34" s="18" t="n">
        <v>40</v>
      </c>
      <c r="D34" s="17" t="inlineStr">
        <is>
          <t>Commercial</t>
        </is>
      </c>
      <c r="E34" s="17" t="inlineStr">
        <is>
          <t>Easy</t>
        </is>
      </c>
      <c r="F34" s="21" t="inlineStr">
        <is>
          <t>New</t>
        </is>
      </c>
      <c r="G34" s="17" t="inlineStr">
        <is>
          <t>Body, compliance callout</t>
        </is>
      </c>
      <c r="H34" s="17" t="inlineStr"/>
    </row>
    <row r="36">
      <c r="A36" s="4" t="inlineStr">
        <is>
          <t>Total keywords:</t>
        </is>
      </c>
      <c r="B36" s="4">
        <f>COUNT(C7:C34)</f>
        <v/>
      </c>
    </row>
    <row r="37">
      <c r="A37" s="4" t="inlineStr">
        <is>
          <t>New keywords:</t>
        </is>
      </c>
      <c r="B37" s="4">
        <f>COUNTIF(F7:F34,"New")</f>
        <v/>
      </c>
    </row>
    <row r="38">
      <c r="A38" s="4" t="inlineStr">
        <is>
          <t>Revised keywords:</t>
        </is>
      </c>
      <c r="B38" s="4">
        <f>COUNTIF(F7:F34,"Revised")</f>
        <v/>
      </c>
    </row>
    <row r="39">
      <c r="A39" s="4" t="inlineStr">
        <is>
          <t>Total est. monthly volume:</t>
        </is>
      </c>
      <c r="B39" s="22">
        <f>SUM(C7:C34)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08 Pen Testing &amp; VulnMgmt</t>
        </is>
      </c>
    </row>
    <row r="2">
      <c r="A2" s="4" t="inlineStr">
        <is>
          <t>URL:  https://artiflexit.com/cybersecurity/vulnerability-management</t>
        </is>
      </c>
    </row>
    <row r="3">
      <c r="A3" s="2" t="inlineStr">
        <is>
          <t>Meta Title (revised):  Penetration Testing UAE | VAPT Services | Artiflex IT 2026</t>
        </is>
      </c>
    </row>
    <row r="4">
      <c r="A4" s="2" t="inlineStr">
        <is>
          <t>Meta Description:  CREST-aligned pen testing in UAE — web, network, API, cloud &amp; red team. VAPT for NESA, SAMA, ISO 27001, PCI.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penetration testing services</t>
        </is>
      </c>
      <c r="B7" s="17" t="inlineStr">
        <is>
          <t>Primary</t>
        </is>
      </c>
      <c r="C7" s="18" t="n">
        <v>9000</v>
      </c>
      <c r="D7" s="17" t="inlineStr">
        <is>
          <t>Commercial</t>
        </is>
      </c>
      <c r="E7" s="17" t="inlineStr">
        <is>
          <t>Hard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vulnerability management for business</t>
        </is>
      </c>
      <c r="B8" s="17" t="inlineStr">
        <is>
          <t>Secondary</t>
        </is>
      </c>
      <c r="C8" s="18" t="n">
        <v>1300</v>
      </c>
      <c r="D8" s="17" t="inlineStr">
        <is>
          <t>Commercial</t>
        </is>
      </c>
      <c r="E8" s="17" t="inlineStr">
        <is>
          <t>Moderate</t>
        </is>
      </c>
      <c r="F8" s="19" t="inlineStr">
        <is>
          <t>Existing</t>
        </is>
      </c>
      <c r="G8" s="17" t="inlineStr">
        <is>
          <t>H2, body</t>
        </is>
      </c>
      <c r="H8" s="17" t="inlineStr"/>
    </row>
    <row r="9">
      <c r="A9" s="17" t="inlineStr">
        <is>
          <t>vulnerability assessment</t>
        </is>
      </c>
      <c r="B9" s="17" t="inlineStr">
        <is>
          <t>Secondary</t>
        </is>
      </c>
      <c r="C9" s="18" t="n">
        <v>11000</v>
      </c>
      <c r="D9" s="17" t="inlineStr">
        <is>
          <t>Commercial</t>
        </is>
      </c>
      <c r="E9" s="17" t="inlineStr">
        <is>
          <t>Hard</t>
        </is>
      </c>
      <c r="F9" s="19" t="inlineStr">
        <is>
          <t>Existing</t>
        </is>
      </c>
      <c r="G9" s="17" t="inlineStr">
        <is>
          <t>H2 (assessment vs pen test)</t>
        </is>
      </c>
      <c r="H9" s="17" t="inlineStr"/>
    </row>
    <row r="10">
      <c r="A10" s="17" t="inlineStr">
        <is>
          <t>security audit</t>
        </is>
      </c>
      <c r="B10" s="17" t="inlineStr">
        <is>
          <t>Long-tail</t>
        </is>
      </c>
      <c r="C10" s="18" t="n">
        <v>14000</v>
      </c>
      <c r="D10" s="17" t="inlineStr">
        <is>
          <t>Commercial</t>
        </is>
      </c>
      <c r="E10" s="17" t="inlineStr">
        <is>
          <t>Hard</t>
        </is>
      </c>
      <c r="F10" s="19" t="inlineStr">
        <is>
          <t>Existing</t>
        </is>
      </c>
      <c r="G10" s="17" t="inlineStr">
        <is>
          <t>H2 (security audit section)</t>
        </is>
      </c>
      <c r="H10" s="17" t="inlineStr"/>
    </row>
    <row r="11">
      <c r="A11" s="17" t="inlineStr">
        <is>
          <t>web application penetration testing</t>
        </is>
      </c>
      <c r="B11" s="17" t="inlineStr">
        <is>
          <t>Long-tail</t>
        </is>
      </c>
      <c r="C11" s="18" t="n">
        <v>15000</v>
      </c>
      <c r="D11" s="17" t="inlineStr">
        <is>
          <t>Commercial</t>
        </is>
      </c>
      <c r="E11" s="17" t="inlineStr">
        <is>
          <t>Hard</t>
        </is>
      </c>
      <c r="F11" s="19" t="inlineStr">
        <is>
          <t>Existing</t>
        </is>
      </c>
      <c r="G11" s="17" t="inlineStr">
        <is>
          <t>H3 (types of pen testing)</t>
        </is>
      </c>
      <c r="H11" s="17" t="inlineStr"/>
    </row>
    <row r="12">
      <c r="A12" s="17" t="inlineStr">
        <is>
          <t>network penetration testing</t>
        </is>
      </c>
      <c r="B12" s="17" t="inlineStr">
        <is>
          <t>Long-tail</t>
        </is>
      </c>
      <c r="C12" s="18" t="n">
        <v>1700</v>
      </c>
      <c r="D12" s="17" t="inlineStr">
        <is>
          <t>Commercial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H3</t>
        </is>
      </c>
      <c r="H12" s="17" t="inlineStr"/>
    </row>
    <row r="13">
      <c r="A13" s="17" t="inlineStr">
        <is>
          <t>API penetration testing</t>
        </is>
      </c>
      <c r="B13" s="17" t="inlineStr">
        <is>
          <t>Long-tail</t>
        </is>
      </c>
      <c r="C13" s="18" t="n">
        <v>1290</v>
      </c>
      <c r="D13" s="17" t="inlineStr">
        <is>
          <t>Commercial</t>
        </is>
      </c>
      <c r="E13" s="17" t="inlineStr">
        <is>
          <t>Moderate</t>
        </is>
      </c>
      <c r="F13" s="19" t="inlineStr">
        <is>
          <t>Existing</t>
        </is>
      </c>
      <c r="G13" s="17" t="inlineStr">
        <is>
          <t>H3</t>
        </is>
      </c>
      <c r="H13" s="17" t="inlineStr"/>
    </row>
    <row r="14">
      <c r="A14" s="17" t="inlineStr">
        <is>
          <t>external penetration testing</t>
        </is>
      </c>
      <c r="B14" s="17" t="inlineStr">
        <is>
          <t>Long-tail</t>
        </is>
      </c>
      <c r="C14" s="18" t="n">
        <v>980</v>
      </c>
      <c r="D14" s="17" t="inlineStr">
        <is>
          <t>Commercial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Body</t>
        </is>
      </c>
      <c r="H14" s="17" t="inlineStr"/>
    </row>
    <row r="15">
      <c r="A15" s="17" t="inlineStr">
        <is>
          <t>cloud penetration testing</t>
        </is>
      </c>
      <c r="B15" s="17" t="inlineStr">
        <is>
          <t>Long-tail</t>
        </is>
      </c>
      <c r="C15" s="18" t="n">
        <v>870</v>
      </c>
      <c r="D15" s="17" t="inlineStr">
        <is>
          <t>Commercial</t>
        </is>
      </c>
      <c r="E15" s="17" t="inlineStr">
        <is>
          <t>Moderate</t>
        </is>
      </c>
      <c r="F15" s="19" t="inlineStr">
        <is>
          <t>Existing</t>
        </is>
      </c>
      <c r="G15" s="17" t="inlineStr">
        <is>
          <t>H3</t>
        </is>
      </c>
      <c r="H15" s="17" t="inlineStr"/>
    </row>
    <row r="16">
      <c r="A16" s="17" t="inlineStr">
        <is>
          <t>ethical hacking services</t>
        </is>
      </c>
      <c r="B16" s="17" t="inlineStr">
        <is>
          <t>Long-tail</t>
        </is>
      </c>
      <c r="C16" s="18" t="n">
        <v>1300</v>
      </c>
      <c r="D16" s="17" t="inlineStr">
        <is>
          <t>Commercial</t>
        </is>
      </c>
      <c r="E16" s="17" t="inlineStr">
        <is>
          <t>Moderate</t>
        </is>
      </c>
      <c r="F16" s="19" t="inlineStr">
        <is>
          <t>Existing</t>
        </is>
      </c>
      <c r="G16" s="17" t="inlineStr">
        <is>
          <t>Body</t>
        </is>
      </c>
      <c r="H16" s="17" t="inlineStr"/>
    </row>
    <row r="17">
      <c r="A17" s="17" t="inlineStr">
        <is>
          <t>vulnerability scanning tools</t>
        </is>
      </c>
      <c r="B17" s="17" t="inlineStr">
        <is>
          <t>Long-tail</t>
        </is>
      </c>
      <c r="C17" s="18" t="n">
        <v>3200</v>
      </c>
      <c r="D17" s="17" t="inlineStr">
        <is>
          <t>Informational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H2 (assessment vs pen test)</t>
        </is>
      </c>
      <c r="H17" s="17" t="inlineStr"/>
    </row>
    <row r="18">
      <c r="A18" s="17" t="inlineStr">
        <is>
          <t>red teaming</t>
        </is>
      </c>
      <c r="B18" s="17" t="inlineStr">
        <is>
          <t>Long-tail</t>
        </is>
      </c>
      <c r="C18" s="18" t="n">
        <v>1800</v>
      </c>
      <c r="D18" s="17" t="inlineStr">
        <is>
          <t>Informational</t>
        </is>
      </c>
      <c r="E18" s="17" t="inlineStr">
        <is>
          <t>Hard</t>
        </is>
      </c>
      <c r="F18" s="20" t="inlineStr">
        <is>
          <t>Revised</t>
        </is>
      </c>
      <c r="G18" s="17" t="inlineStr">
        <is>
          <t>H3 (red team section)</t>
        </is>
      </c>
      <c r="H18" s="17" t="inlineStr">
        <is>
          <t>DEMOTED — original '93,200/mo' was dataset noise; realistic volume ≈1.8K. Don't treat as primary.</t>
        </is>
      </c>
    </row>
    <row r="19">
      <c r="A19" s="17" t="inlineStr">
        <is>
          <t>penetration testing report template</t>
        </is>
      </c>
      <c r="B19" s="17" t="inlineStr">
        <is>
          <t>Long-tail</t>
        </is>
      </c>
      <c r="C19" s="18" t="n">
        <v>900</v>
      </c>
      <c r="D19" s="17" t="inlineStr">
        <is>
          <t>Informational</t>
        </is>
      </c>
      <c r="E19" s="17" t="inlineStr">
        <is>
          <t>Easy</t>
        </is>
      </c>
      <c r="F19" s="19" t="inlineStr">
        <is>
          <t>Existing</t>
        </is>
      </c>
      <c r="G19" s="17" t="inlineStr">
        <is>
          <t>H2 (what a good report looks like)</t>
        </is>
      </c>
      <c r="H19" s="17" t="inlineStr"/>
    </row>
    <row r="20">
      <c r="A20" s="17" t="inlineStr">
        <is>
          <t>penetration testing services UAE</t>
        </is>
      </c>
      <c r="B20" s="17" t="inlineStr">
        <is>
          <t>Geo</t>
        </is>
      </c>
      <c r="C20" s="18" t="n">
        <v>390</v>
      </c>
      <c r="D20" s="17" t="inlineStr">
        <is>
          <t>Transactional</t>
        </is>
      </c>
      <c r="E20" s="17" t="inlineStr">
        <is>
          <t>Moderate</t>
        </is>
      </c>
      <c r="F20" s="21" t="inlineStr">
        <is>
          <t>New</t>
        </is>
      </c>
      <c r="G20" s="17" t="inlineStr">
        <is>
          <t>Meta description, H1 subtitle, CTA</t>
        </is>
      </c>
      <c r="H20" s="17" t="inlineStr">
        <is>
          <t>HIGHEST-priority geo add for this page.</t>
        </is>
      </c>
    </row>
    <row r="21">
      <c r="A21" s="17" t="inlineStr">
        <is>
          <t>penetration testing Dubai</t>
        </is>
      </c>
      <c r="B21" s="17" t="inlineStr">
        <is>
          <t>Geo</t>
        </is>
      </c>
      <c r="C21" s="18" t="n">
        <v>480</v>
      </c>
      <c r="D21" s="17" t="inlineStr">
        <is>
          <t>Transactional</t>
        </is>
      </c>
      <c r="E21" s="17" t="inlineStr">
        <is>
          <t>Moderate</t>
        </is>
      </c>
      <c r="F21" s="21" t="inlineStr">
        <is>
          <t>New</t>
        </is>
      </c>
      <c r="G21" s="17" t="inlineStr">
        <is>
          <t>H2, body</t>
        </is>
      </c>
      <c r="H21" s="17" t="inlineStr"/>
    </row>
    <row r="22">
      <c r="A22" s="17" t="inlineStr">
        <is>
          <t>penetration testing Abu Dhabi</t>
        </is>
      </c>
      <c r="B22" s="17" t="inlineStr">
        <is>
          <t>Geo</t>
        </is>
      </c>
      <c r="C22" s="18" t="n">
        <v>170</v>
      </c>
      <c r="D22" s="17" t="inlineStr">
        <is>
          <t>Transactional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Body, city page</t>
        </is>
      </c>
      <c r="H22" s="17" t="inlineStr"/>
    </row>
    <row r="23">
      <c r="A23" s="17" t="inlineStr">
        <is>
          <t>VAPT services UAE</t>
        </is>
      </c>
      <c r="B23" s="17" t="inlineStr">
        <is>
          <t>Geo</t>
        </is>
      </c>
      <c r="C23" s="18" t="n">
        <v>260</v>
      </c>
      <c r="D23" s="17" t="inlineStr">
        <is>
          <t>Transactional</t>
        </is>
      </c>
      <c r="E23" s="17" t="inlineStr">
        <is>
          <t>Easy</t>
        </is>
      </c>
      <c r="F23" s="21" t="inlineStr">
        <is>
          <t>New</t>
        </is>
      </c>
      <c r="G23" s="17" t="inlineStr">
        <is>
          <t>H2</t>
        </is>
      </c>
      <c r="H23" s="17" t="inlineStr">
        <is>
          <t>Vulnerability Assessment &amp; Penetration Testing — UAE-popular acronym.</t>
        </is>
      </c>
    </row>
    <row r="24">
      <c r="A24" s="17" t="inlineStr">
        <is>
          <t>CREST penetration testing UAE</t>
        </is>
      </c>
      <c r="B24" s="17" t="inlineStr">
        <is>
          <t>Compliance</t>
        </is>
      </c>
      <c r="C24" s="18" t="n">
        <v>90</v>
      </c>
      <c r="D24" s="17" t="inlineStr">
        <is>
          <t>Commercial</t>
        </is>
      </c>
      <c r="E24" s="17" t="inlineStr">
        <is>
          <t>Easy</t>
        </is>
      </c>
      <c r="F24" s="21" t="inlineStr">
        <is>
          <t>New</t>
        </is>
      </c>
      <c r="G24" s="17" t="inlineStr">
        <is>
          <t>Body, trust signals</t>
        </is>
      </c>
      <c r="H24" s="17" t="inlineStr">
        <is>
          <t>Confirm CREST accreditation before claiming.</t>
        </is>
      </c>
    </row>
    <row r="25">
      <c r="A25" s="17" t="inlineStr">
        <is>
          <t>OSCP certified pen testers</t>
        </is>
      </c>
      <c r="B25" s="17" t="inlineStr">
        <is>
          <t>Compliance</t>
        </is>
      </c>
      <c r="C25" s="18" t="n">
        <v>140</v>
      </c>
      <c r="D25" s="17" t="inlineStr">
        <is>
          <t>Commercial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Team credentials sidebar</t>
        </is>
      </c>
      <c r="H25" s="17" t="inlineStr"/>
    </row>
    <row r="26">
      <c r="A26" s="17" t="inlineStr">
        <is>
          <t>NESA penetration testing requirements</t>
        </is>
      </c>
      <c r="B26" s="17" t="inlineStr">
        <is>
          <t>Compliance</t>
        </is>
      </c>
      <c r="C26" s="18" t="n">
        <v>40</v>
      </c>
      <c r="D26" s="17" t="inlineStr">
        <is>
          <t>Commercial</t>
        </is>
      </c>
      <c r="E26" s="17" t="inlineStr">
        <is>
          <t>Easy</t>
        </is>
      </c>
      <c r="F26" s="21" t="inlineStr">
        <is>
          <t>New</t>
        </is>
      </c>
      <c r="G26" s="17" t="inlineStr">
        <is>
          <t>Compliance callout</t>
        </is>
      </c>
      <c r="H26" s="17" t="inlineStr"/>
    </row>
    <row r="27">
      <c r="A27" s="17" t="inlineStr">
        <is>
          <t>SAMA penetration testing Saudi Arabia</t>
        </is>
      </c>
      <c r="B27" s="17" t="inlineStr">
        <is>
          <t>Compliance</t>
        </is>
      </c>
      <c r="C27" s="18" t="n">
        <v>30</v>
      </c>
      <c r="D27" s="17" t="inlineStr">
        <is>
          <t>Commercial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Compliance callout</t>
        </is>
      </c>
      <c r="H27" s="17" t="inlineStr"/>
    </row>
    <row r="28">
      <c r="A28" s="17" t="inlineStr">
        <is>
          <t>PCI DSS penetration testing UAE</t>
        </is>
      </c>
      <c r="B28" s="17" t="inlineStr">
        <is>
          <t>Compliance</t>
        </is>
      </c>
      <c r="C28" s="18" t="n">
        <v>70</v>
      </c>
      <c r="D28" s="17" t="inlineStr">
        <is>
          <t>Commercial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Body</t>
        </is>
      </c>
      <c r="H28" s="17" t="inlineStr"/>
    </row>
    <row r="29">
      <c r="A29" s="17" t="inlineStr">
        <is>
          <t>ISO 27001 penetration testing</t>
        </is>
      </c>
      <c r="B29" s="17" t="inlineStr">
        <is>
          <t>Compliance</t>
        </is>
      </c>
      <c r="C29" s="18" t="n">
        <v>210</v>
      </c>
      <c r="D29" s="17" t="inlineStr">
        <is>
          <t>Commercial</t>
        </is>
      </c>
      <c r="E29" s="17" t="inlineStr">
        <is>
          <t>Moderate</t>
        </is>
      </c>
      <c r="F29" s="21" t="inlineStr">
        <is>
          <t>New</t>
        </is>
      </c>
      <c r="G29" s="17" t="inlineStr">
        <is>
          <t>Body</t>
        </is>
      </c>
      <c r="H29" s="17" t="inlineStr"/>
    </row>
    <row r="30">
      <c r="A30" s="17" t="inlineStr">
        <is>
          <t>pen test vs vulnerability scan</t>
        </is>
      </c>
      <c r="B30" s="17" t="inlineStr">
        <is>
          <t>Question</t>
        </is>
      </c>
      <c r="C30" s="18" t="n">
        <v>590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</t>
        </is>
      </c>
      <c r="H30" s="17" t="inlineStr"/>
    </row>
    <row r="31">
      <c r="A31" s="17" t="inlineStr">
        <is>
          <t>how often should you do a penetration test</t>
        </is>
      </c>
      <c r="B31" s="17" t="inlineStr">
        <is>
          <t>Question</t>
        </is>
      </c>
      <c r="C31" s="18" t="n">
        <v>260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2">
      <c r="A32" s="17" t="inlineStr">
        <is>
          <t>how much does a penetration test cost</t>
        </is>
      </c>
      <c r="B32" s="17" t="inlineStr">
        <is>
          <t>Question</t>
        </is>
      </c>
      <c r="C32" s="18" t="n">
        <v>720</v>
      </c>
      <c r="D32" s="17" t="inlineStr">
        <is>
          <t>Commercial</t>
        </is>
      </c>
      <c r="E32" s="17" t="inlineStr">
        <is>
          <t>Moderate</t>
        </is>
      </c>
      <c r="F32" s="21" t="inlineStr">
        <is>
          <t>New</t>
        </is>
      </c>
      <c r="G32" s="17" t="inlineStr">
        <is>
          <t>FAQ (ranges only)</t>
        </is>
      </c>
      <c r="H32" s="17" t="inlineStr"/>
    </row>
    <row r="33">
      <c r="A33" s="17" t="inlineStr">
        <is>
          <t>what is VAPT</t>
        </is>
      </c>
      <c r="B33" s="17" t="inlineStr">
        <is>
          <t>Question</t>
        </is>
      </c>
      <c r="C33" s="18" t="n">
        <v>880</v>
      </c>
      <c r="D33" s="17" t="inlineStr">
        <is>
          <t>Informational</t>
        </is>
      </c>
      <c r="E33" s="17" t="inlineStr">
        <is>
          <t>Easy</t>
        </is>
      </c>
      <c r="F33" s="21" t="inlineStr">
        <is>
          <t>New</t>
        </is>
      </c>
      <c r="G33" s="17" t="inlineStr">
        <is>
          <t>FAQ</t>
        </is>
      </c>
      <c r="H33" s="17" t="inlineStr">
        <is>
          <t>Very common UAE search query.</t>
        </is>
      </c>
    </row>
    <row r="34">
      <c r="A34" s="17" t="inlineStr">
        <is>
          <t>black box vs white box penetration testing</t>
        </is>
      </c>
      <c r="B34" s="17" t="inlineStr">
        <is>
          <t>Question</t>
        </is>
      </c>
      <c r="C34" s="18" t="n">
        <v>260</v>
      </c>
      <c r="D34" s="17" t="inlineStr">
        <is>
          <t>Informational</t>
        </is>
      </c>
      <c r="E34" s="17" t="inlineStr">
        <is>
          <t>Easy</t>
        </is>
      </c>
      <c r="F34" s="21" t="inlineStr">
        <is>
          <t>New</t>
        </is>
      </c>
      <c r="G34" s="17" t="inlineStr">
        <is>
          <t>FAQ</t>
        </is>
      </c>
      <c r="H34" s="17" t="inlineStr"/>
    </row>
    <row r="36">
      <c r="A36" s="4" t="inlineStr">
        <is>
          <t>Total keywords:</t>
        </is>
      </c>
      <c r="B36" s="4">
        <f>COUNT(C7:C34)</f>
        <v/>
      </c>
    </row>
    <row r="37">
      <c r="A37" s="4" t="inlineStr">
        <is>
          <t>New keywords:</t>
        </is>
      </c>
      <c r="B37" s="4">
        <f>COUNTIF(F7:F34,"New")</f>
        <v/>
      </c>
    </row>
    <row r="38">
      <c r="A38" s="4" t="inlineStr">
        <is>
          <t>Revised keywords:</t>
        </is>
      </c>
      <c r="B38" s="4">
        <f>COUNTIF(F7:F34,"Revised")</f>
        <v/>
      </c>
    </row>
    <row r="39">
      <c r="A39" s="4" t="inlineStr">
        <is>
          <t>Total est. monthly volume:</t>
        </is>
      </c>
      <c r="B39" s="22">
        <f>SUM(C7:C34)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09 Vendor Scorecard</t>
        </is>
      </c>
    </row>
    <row r="2">
      <c r="A2" s="4" t="inlineStr">
        <is>
          <t>URL:  https://artiflexit.com/cybersecurity/vendor-scorecard</t>
        </is>
      </c>
    </row>
    <row r="3">
      <c r="A3" s="2" t="inlineStr">
        <is>
          <t>Meta Title (revised):  Best Cybersecurity Vendors 2026 UAE | Artiflex IT Scorecard</t>
        </is>
      </c>
    </row>
    <row r="4">
      <c r="A4" s="2" t="inlineStr">
        <is>
          <t>Meta Description:  Vendor-neutral 2026 cybersecurity scorecard. EDR, SIEM, SASE &amp; firewall rankings for UAE buyers. Free shortlist.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best cybersecurity vendors 2026</t>
        </is>
      </c>
      <c r="B7" s="17" t="inlineStr">
        <is>
          <t>Primary</t>
        </is>
      </c>
      <c r="C7" s="18" t="n">
        <v>1900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cybersecurity vendor comparison</t>
        </is>
      </c>
      <c r="B8" s="17" t="inlineStr">
        <is>
          <t>Secondary</t>
        </is>
      </c>
      <c r="C8" s="18" t="n">
        <v>1300</v>
      </c>
      <c r="D8" s="17" t="inlineStr">
        <is>
          <t>Commercial</t>
        </is>
      </c>
      <c r="E8" s="17" t="inlineStr">
        <is>
          <t>Moderate</t>
        </is>
      </c>
      <c r="F8" s="19" t="inlineStr">
        <is>
          <t>Existing</t>
        </is>
      </c>
      <c r="G8" s="17" t="inlineStr">
        <is>
          <t>H2, body</t>
        </is>
      </c>
      <c r="H8" s="17" t="inlineStr"/>
    </row>
    <row r="9">
      <c r="A9" s="17" t="inlineStr">
        <is>
          <t>best cybersecurity tools</t>
        </is>
      </c>
      <c r="B9" s="17" t="inlineStr">
        <is>
          <t>Secondary</t>
        </is>
      </c>
      <c r="C9" s="18" t="n">
        <v>9900</v>
      </c>
      <c r="D9" s="17" t="inlineStr">
        <is>
          <t>Commercial</t>
        </is>
      </c>
      <c r="E9" s="17" t="inlineStr">
        <is>
          <t>Hard</t>
        </is>
      </c>
      <c r="F9" s="19" t="inlineStr">
        <is>
          <t>Existing</t>
        </is>
      </c>
      <c r="G9" s="17" t="inlineStr">
        <is>
          <t>H2 (best tools by category)</t>
        </is>
      </c>
      <c r="H9" s="17" t="inlineStr"/>
    </row>
    <row r="10">
      <c r="A10" s="17" t="inlineStr">
        <is>
          <t>top cybersecurity companies</t>
        </is>
      </c>
      <c r="B10" s="17" t="inlineStr">
        <is>
          <t>Long-tail</t>
        </is>
      </c>
      <c r="C10" s="18" t="n">
        <v>1600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H2, intro</t>
        </is>
      </c>
      <c r="H10" s="17" t="inlineStr"/>
    </row>
    <row r="11">
      <c r="A11" s="17" t="inlineStr">
        <is>
          <t>cybersecurity software</t>
        </is>
      </c>
      <c r="B11" s="17" t="inlineStr">
        <is>
          <t>Long-tail</t>
        </is>
      </c>
      <c r="C11" s="18" t="n">
        <v>6600</v>
      </c>
      <c r="D11" s="17" t="inlineStr">
        <is>
          <t>Informational</t>
        </is>
      </c>
      <c r="E11" s="17" t="inlineStr">
        <is>
          <t>Hard</t>
        </is>
      </c>
      <c r="F11" s="19" t="inlineStr">
        <is>
          <t>Existing</t>
        </is>
      </c>
      <c r="G11" s="17" t="inlineStr">
        <is>
          <t>Body, meta</t>
        </is>
      </c>
      <c r="H11" s="17" t="inlineStr"/>
    </row>
    <row r="12">
      <c r="A12" s="17" t="inlineStr">
        <is>
          <t>managed security service providers</t>
        </is>
      </c>
      <c r="B12" s="17" t="inlineStr">
        <is>
          <t>Long-tail</t>
        </is>
      </c>
      <c r="C12" s="18" t="n">
        <v>1900</v>
      </c>
      <c r="D12" s="17" t="inlineStr">
        <is>
          <t>Commercial</t>
        </is>
      </c>
      <c r="E12" s="17" t="inlineStr">
        <is>
          <t>Moderate</t>
        </is>
      </c>
      <c r="F12" s="19" t="inlineStr">
        <is>
          <t>Existing</t>
        </is>
      </c>
      <c r="G12" s="17" t="inlineStr">
        <is>
          <t>H2 (MSSP vs MDR)</t>
        </is>
      </c>
      <c r="H12" s="17" t="inlineStr"/>
    </row>
    <row r="13">
      <c r="A13" s="17" t="inlineStr">
        <is>
          <t>how to evaluate cybersecurity vendors</t>
        </is>
      </c>
      <c r="B13" s="17" t="inlineStr">
        <is>
          <t>Long-tail</t>
        </is>
      </c>
      <c r="C13" s="18" t="n">
        <v>320</v>
      </c>
      <c r="D13" s="17" t="inlineStr">
        <is>
          <t>Informational</t>
        </is>
      </c>
      <c r="E13" s="17" t="inlineStr">
        <is>
          <t>Easy</t>
        </is>
      </c>
      <c r="F13" s="19" t="inlineStr">
        <is>
          <t>Existing</t>
        </is>
      </c>
      <c r="G13" s="17" t="inlineStr">
        <is>
          <t>H2 (practical tips)</t>
        </is>
      </c>
      <c r="H13" s="17" t="inlineStr"/>
    </row>
    <row r="14">
      <c r="A14" s="17" t="inlineStr">
        <is>
          <t>cybersecurity vendor risk assessment</t>
        </is>
      </c>
      <c r="B14" s="17" t="inlineStr">
        <is>
          <t>Long-tail</t>
        </is>
      </c>
      <c r="C14" s="18" t="n">
        <v>590</v>
      </c>
      <c r="D14" s="17" t="inlineStr">
        <is>
          <t>Informational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Body</t>
        </is>
      </c>
      <c r="H14" s="17" t="inlineStr"/>
    </row>
    <row r="15">
      <c r="A15" s="17" t="inlineStr">
        <is>
          <t>EDR vs XDR pros and cons</t>
        </is>
      </c>
      <c r="B15" s="17" t="inlineStr">
        <is>
          <t>Long-tail</t>
        </is>
      </c>
      <c r="C15" s="18" t="n">
        <v>600</v>
      </c>
      <c r="D15" s="17" t="inlineStr">
        <is>
          <t>Informational</t>
        </is>
      </c>
      <c r="E15" s="17" t="inlineStr">
        <is>
          <t>Easy</t>
        </is>
      </c>
      <c r="F15" s="19" t="inlineStr">
        <is>
          <t>Existing</t>
        </is>
      </c>
      <c r="G15" s="17" t="inlineStr">
        <is>
          <t>H3 (endpoint section)</t>
        </is>
      </c>
      <c r="H15" s="17" t="inlineStr"/>
    </row>
    <row r="16">
      <c r="A16" s="17" t="inlineStr">
        <is>
          <t>best SIEM tools 2026</t>
        </is>
      </c>
      <c r="B16" s="17" t="inlineStr">
        <is>
          <t>Long-tail</t>
        </is>
      </c>
      <c r="C16" s="18" t="n">
        <v>480</v>
      </c>
      <c r="D16" s="17" t="inlineStr">
        <is>
          <t>Commercial</t>
        </is>
      </c>
      <c r="E16" s="17" t="inlineStr">
        <is>
          <t>Easy</t>
        </is>
      </c>
      <c r="F16" s="19" t="inlineStr">
        <is>
          <t>Existing</t>
        </is>
      </c>
      <c r="G16" s="17" t="inlineStr">
        <is>
          <t>H3 (SIEM section)</t>
        </is>
      </c>
      <c r="H16" s="17" t="inlineStr"/>
    </row>
    <row r="17">
      <c r="A17" s="17" t="inlineStr">
        <is>
          <t>cybersecurity vendor selection criteria</t>
        </is>
      </c>
      <c r="B17" s="17" t="inlineStr">
        <is>
          <t>Long-tail</t>
        </is>
      </c>
      <c r="C17" s="18" t="n">
        <v>260</v>
      </c>
      <c r="D17" s="17" t="inlineStr">
        <is>
          <t>Informational</t>
        </is>
      </c>
      <c r="E17" s="17" t="inlineStr">
        <is>
          <t>Easy</t>
        </is>
      </c>
      <c r="F17" s="19" t="inlineStr">
        <is>
          <t>Existing</t>
        </is>
      </c>
      <c r="G17" s="17" t="inlineStr">
        <is>
          <t>H2 (scoring methodology)</t>
        </is>
      </c>
      <c r="H17" s="17" t="inlineStr"/>
    </row>
    <row r="18">
      <c r="A18" s="17" t="inlineStr">
        <is>
          <t>cybersecurity product reviews</t>
        </is>
      </c>
      <c r="B18" s="17" t="inlineStr">
        <is>
          <t>Long-tail</t>
        </is>
      </c>
      <c r="C18" s="18" t="n">
        <v>390</v>
      </c>
      <c r="D18" s="17" t="inlineStr">
        <is>
          <t>Informational</t>
        </is>
      </c>
      <c r="E18" s="17" t="inlineStr">
        <is>
          <t>Easy</t>
        </is>
      </c>
      <c r="F18" s="20" t="inlineStr">
        <is>
          <t>Revised</t>
        </is>
      </c>
      <c r="G18" s="17" t="inlineStr">
        <is>
          <t>Body — drop 'pay-to-play' claim</t>
        </is>
      </c>
      <c r="H18" s="17" t="inlineStr">
        <is>
          <t>LEGAL: rewrite — audit flagged defamation risk.</t>
        </is>
      </c>
    </row>
    <row r="19">
      <c r="A19" s="17" t="inlineStr">
        <is>
          <t>cybersecurity vendor comparison UAE</t>
        </is>
      </c>
      <c r="B19" s="17" t="inlineStr">
        <is>
          <t>Geo</t>
        </is>
      </c>
      <c r="C19" s="18" t="n">
        <v>90</v>
      </c>
      <c r="D19" s="17" t="inlineStr">
        <is>
          <t>Commercial</t>
        </is>
      </c>
      <c r="E19" s="17" t="inlineStr">
        <is>
          <t>Easy</t>
        </is>
      </c>
      <c r="F19" s="21" t="inlineStr">
        <is>
          <t>New</t>
        </is>
      </c>
      <c r="G19" s="17" t="inlineStr">
        <is>
          <t>Meta description, H2</t>
        </is>
      </c>
      <c r="H19" s="17" t="inlineStr"/>
    </row>
    <row r="20">
      <c r="A20" s="17" t="inlineStr">
        <is>
          <t>MSSP UAE</t>
        </is>
      </c>
      <c r="B20" s="17" t="inlineStr">
        <is>
          <t>Geo</t>
        </is>
      </c>
      <c r="C20" s="18" t="n">
        <v>170</v>
      </c>
      <c r="D20" s="17" t="inlineStr">
        <is>
          <t>Commercial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Body, MSSP section</t>
        </is>
      </c>
      <c r="H20" s="17" t="inlineStr"/>
    </row>
    <row r="21">
      <c r="A21" s="17" t="inlineStr">
        <is>
          <t>best cybersecurity company Dubai</t>
        </is>
      </c>
      <c r="B21" s="17" t="inlineStr">
        <is>
          <t>Geo</t>
        </is>
      </c>
      <c r="C21" s="18" t="n">
        <v>140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H2, body</t>
        </is>
      </c>
      <c r="H21" s="17" t="inlineStr"/>
    </row>
    <row r="22">
      <c r="A22" s="17" t="inlineStr">
        <is>
          <t>cybersecurity partner UAE</t>
        </is>
      </c>
      <c r="B22" s="17" t="inlineStr">
        <is>
          <t>Partner</t>
        </is>
      </c>
      <c r="C22" s="18" t="n">
        <v>90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Body</t>
        </is>
      </c>
      <c r="H22" s="17" t="inlineStr"/>
    </row>
    <row r="23">
      <c r="A23" s="17" t="inlineStr">
        <is>
          <t>CrowdStrike vs SentinelOne 2026</t>
        </is>
      </c>
      <c r="B23" s="17" t="inlineStr">
        <is>
          <t>Comparison</t>
        </is>
      </c>
      <c r="C23" s="18" t="n">
        <v>880</v>
      </c>
      <c r="D23" s="17" t="inlineStr">
        <is>
          <t>Informational</t>
        </is>
      </c>
      <c r="E23" s="17" t="inlineStr">
        <is>
          <t>Moderate</t>
        </is>
      </c>
      <c r="F23" s="21" t="inlineStr">
        <is>
          <t>New</t>
        </is>
      </c>
      <c r="G23" s="17" t="inlineStr">
        <is>
          <t>H3 under endpoint</t>
        </is>
      </c>
      <c r="H23" s="17" t="inlineStr"/>
    </row>
    <row r="24">
      <c r="A24" s="17" t="inlineStr">
        <is>
          <t>Splunk vs Microsoft Sentinel 2026</t>
        </is>
      </c>
      <c r="B24" s="17" t="inlineStr">
        <is>
          <t>Comparison</t>
        </is>
      </c>
      <c r="C24" s="18" t="n">
        <v>480</v>
      </c>
      <c r="D24" s="17" t="inlineStr">
        <is>
          <t>Informational</t>
        </is>
      </c>
      <c r="E24" s="17" t="inlineStr">
        <is>
          <t>Moderate</t>
        </is>
      </c>
      <c r="F24" s="21" t="inlineStr">
        <is>
          <t>New</t>
        </is>
      </c>
      <c r="G24" s="17" t="inlineStr">
        <is>
          <t>H3 under SIEM</t>
        </is>
      </c>
      <c r="H24" s="17" t="inlineStr"/>
    </row>
    <row r="25">
      <c r="A25" s="17" t="inlineStr">
        <is>
          <t>Zscaler vs Palo Alto Prisma Access</t>
        </is>
      </c>
      <c r="B25" s="17" t="inlineStr">
        <is>
          <t>Comparison</t>
        </is>
      </c>
      <c r="C25" s="18" t="n">
        <v>320</v>
      </c>
      <c r="D25" s="17" t="inlineStr">
        <is>
          <t>Informational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H3 under SASE</t>
        </is>
      </c>
      <c r="H25" s="17" t="inlineStr"/>
    </row>
    <row r="26">
      <c r="A26" s="17" t="inlineStr">
        <is>
          <t>Fortinet vs Palo Alto 2026</t>
        </is>
      </c>
      <c r="B26" s="17" t="inlineStr">
        <is>
          <t>Comparison</t>
        </is>
      </c>
      <c r="C26" s="18" t="n">
        <v>590</v>
      </c>
      <c r="D26" s="17" t="inlineStr">
        <is>
          <t>Informational</t>
        </is>
      </c>
      <c r="E26" s="17" t="inlineStr">
        <is>
          <t>Moderate</t>
        </is>
      </c>
      <c r="F26" s="21" t="inlineStr">
        <is>
          <t>New</t>
        </is>
      </c>
      <c r="G26" s="17" t="inlineStr">
        <is>
          <t>Add firewall comparison H2</t>
        </is>
      </c>
      <c r="H26" s="17" t="inlineStr">
        <is>
          <t>Audit flagged missing firewall category.</t>
        </is>
      </c>
    </row>
    <row r="27">
      <c r="A27" s="17" t="inlineStr">
        <is>
          <t>Proofpoint vs Abnormal Security</t>
        </is>
      </c>
      <c r="B27" s="17" t="inlineStr">
        <is>
          <t>Comparison</t>
        </is>
      </c>
      <c r="C27" s="18" t="n">
        <v>210</v>
      </c>
      <c r="D27" s="17" t="inlineStr">
        <is>
          <t>Informational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Add email security H2</t>
        </is>
      </c>
      <c r="H27" s="17" t="inlineStr">
        <is>
          <t>Audit flagged missing email security category.</t>
        </is>
      </c>
    </row>
    <row r="28">
      <c r="A28" s="17" t="inlineStr">
        <is>
          <t>how do I choose a cybersecurity vendor</t>
        </is>
      </c>
      <c r="B28" s="17" t="inlineStr">
        <is>
          <t>Question</t>
        </is>
      </c>
      <c r="C28" s="18" t="n">
        <v>320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FAQ</t>
        </is>
      </c>
      <c r="H28" s="17" t="inlineStr"/>
    </row>
    <row r="29">
      <c r="A29" s="17" t="inlineStr">
        <is>
          <t>what is the best EDR solution</t>
        </is>
      </c>
      <c r="B29" s="17" t="inlineStr">
        <is>
          <t>Question</t>
        </is>
      </c>
      <c r="C29" s="18" t="n">
        <v>390</v>
      </c>
      <c r="D29" s="17" t="inlineStr">
        <is>
          <t>Informational</t>
        </is>
      </c>
      <c r="E29" s="17" t="inlineStr">
        <is>
          <t>Easy</t>
        </is>
      </c>
      <c r="F29" s="21" t="inlineStr">
        <is>
          <t>New</t>
        </is>
      </c>
      <c r="G29" s="17" t="inlineStr">
        <is>
          <t>FAQ</t>
        </is>
      </c>
      <c r="H29" s="17" t="inlineStr"/>
    </row>
    <row r="30">
      <c r="A30" s="17" t="inlineStr">
        <is>
          <t>what is the best SIEM</t>
        </is>
      </c>
      <c r="B30" s="17" t="inlineStr">
        <is>
          <t>Question</t>
        </is>
      </c>
      <c r="C30" s="18" t="n">
        <v>260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</t>
        </is>
      </c>
      <c r="H30" s="17" t="inlineStr"/>
    </row>
    <row r="31">
      <c r="A31" s="17" t="inlineStr">
        <is>
          <t>is Microsoft Defender enough</t>
        </is>
      </c>
      <c r="B31" s="17" t="inlineStr">
        <is>
          <t>Question</t>
        </is>
      </c>
      <c r="C31" s="18" t="n">
        <v>590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2">
      <c r="A32" s="17" t="inlineStr">
        <is>
          <t>MSSP vs MDR</t>
        </is>
      </c>
      <c r="B32" s="17" t="inlineStr">
        <is>
          <t>Comparison</t>
        </is>
      </c>
      <c r="C32" s="18" t="n">
        <v>320</v>
      </c>
      <c r="D32" s="17" t="inlineStr">
        <is>
          <t>Informational</t>
        </is>
      </c>
      <c r="E32" s="17" t="inlineStr">
        <is>
          <t>Easy</t>
        </is>
      </c>
      <c r="F32" s="21" t="inlineStr">
        <is>
          <t>New</t>
        </is>
      </c>
      <c r="G32" s="17" t="inlineStr">
        <is>
          <t>H3 (existing section — expand)</t>
        </is>
      </c>
      <c r="H32" s="17" t="inlineStr"/>
    </row>
    <row r="34">
      <c r="A34" s="4" t="inlineStr">
        <is>
          <t>Total keywords:</t>
        </is>
      </c>
      <c r="B34" s="4">
        <f>COUNT(C7:C32)</f>
        <v/>
      </c>
    </row>
    <row r="35">
      <c r="A35" s="4" t="inlineStr">
        <is>
          <t>New keywords:</t>
        </is>
      </c>
      <c r="B35" s="4">
        <f>COUNTIF(F7:F32,"New")</f>
        <v/>
      </c>
    </row>
    <row r="36">
      <c r="A36" s="4" t="inlineStr">
        <is>
          <t>Revised keywords:</t>
        </is>
      </c>
      <c r="B36" s="4">
        <f>COUNTIF(F7:F32,"Revised")</f>
        <v/>
      </c>
    </row>
    <row r="37">
      <c r="A37" s="4" t="inlineStr">
        <is>
          <t>Total est. monthly volume:</t>
        </is>
      </c>
      <c r="B37" s="22">
        <f>SUM(C7:C32)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60" customWidth="1" min="8" max="8"/>
  </cols>
  <sheetData>
    <row r="1">
      <c r="A1" s="15" t="inlineStr">
        <is>
          <t>10 Implementation Roadmap</t>
        </is>
      </c>
    </row>
    <row r="2">
      <c r="A2" s="4" t="inlineStr">
        <is>
          <t>URL:  https://artiflexit.com/cybersecurity/implementation-roadmap</t>
        </is>
      </c>
    </row>
    <row r="3">
      <c r="A3" s="2" t="inlineStr">
        <is>
          <t>Meta Title (revised):  Cybersecurity Strategy UAE | NIST Roadmap | Artiflex IT</t>
        </is>
      </c>
    </row>
    <row r="4">
      <c r="A4" s="2" t="inlineStr">
        <is>
          <t>Meta Description:  Build your UAE cybersecurity strategy with NIST CSF 2.0. 30-60-90 roadmap, NESA/SAMA alignment. Free workshop.</t>
        </is>
      </c>
    </row>
    <row r="6" ht="28" customHeight="1">
      <c r="A6" s="16" t="inlineStr">
        <is>
          <t>Keyword</t>
        </is>
      </c>
      <c r="B6" s="16" t="inlineStr">
        <is>
          <t>Type</t>
        </is>
      </c>
      <c r="C6" s="16" t="inlineStr">
        <is>
          <t>Est. Monthly Volume</t>
        </is>
      </c>
      <c r="D6" s="16" t="inlineStr">
        <is>
          <t>Intent</t>
        </is>
      </c>
      <c r="E6" s="16" t="inlineStr">
        <is>
          <t>Difficulty</t>
        </is>
      </c>
      <c r="F6" s="16" t="inlineStr">
        <is>
          <t>Status</t>
        </is>
      </c>
      <c r="G6" s="16" t="inlineStr">
        <is>
          <t>Placement</t>
        </is>
      </c>
      <c r="H6" s="16" t="inlineStr">
        <is>
          <t>Notes</t>
        </is>
      </c>
    </row>
    <row r="7">
      <c r="A7" s="17" t="inlineStr">
        <is>
          <t>cyber security strategy for business</t>
        </is>
      </c>
      <c r="B7" s="17" t="inlineStr">
        <is>
          <t>Primary</t>
        </is>
      </c>
      <c r="C7" s="18" t="n">
        <v>2900</v>
      </c>
      <c r="D7" s="17" t="inlineStr">
        <is>
          <t>Commercial</t>
        </is>
      </c>
      <c r="E7" s="17" t="inlineStr">
        <is>
          <t>Moderate</t>
        </is>
      </c>
      <c r="F7" s="19" t="inlineStr">
        <is>
          <t>Existing</t>
        </is>
      </c>
      <c r="G7" s="17" t="inlineStr">
        <is>
          <t>H1, Meta Title, URL</t>
        </is>
      </c>
      <c r="H7" s="17" t="inlineStr"/>
    </row>
    <row r="8">
      <c r="A8" s="17" t="inlineStr">
        <is>
          <t>cybersecurity implementation roadmap</t>
        </is>
      </c>
      <c r="B8" s="17" t="inlineStr">
        <is>
          <t>Secondary</t>
        </is>
      </c>
      <c r="C8" s="18" t="n">
        <v>720</v>
      </c>
      <c r="D8" s="17" t="inlineStr">
        <is>
          <t>Commercial</t>
        </is>
      </c>
      <c r="E8" s="17" t="inlineStr">
        <is>
          <t>Moderate</t>
        </is>
      </c>
      <c r="F8" s="19" t="inlineStr">
        <is>
          <t>Existing</t>
        </is>
      </c>
      <c r="G8" s="17" t="inlineStr">
        <is>
          <t>H2, body</t>
        </is>
      </c>
      <c r="H8" s="17" t="inlineStr"/>
    </row>
    <row r="9">
      <c r="A9" s="17" t="inlineStr">
        <is>
          <t>cybersecurity plan</t>
        </is>
      </c>
      <c r="B9" s="17" t="inlineStr">
        <is>
          <t>Secondary</t>
        </is>
      </c>
      <c r="C9" s="18" t="n">
        <v>1900</v>
      </c>
      <c r="D9" s="17" t="inlineStr">
        <is>
          <t>Informational</t>
        </is>
      </c>
      <c r="E9" s="17" t="inlineStr">
        <is>
          <t>Moderate</t>
        </is>
      </c>
      <c r="F9" s="19" t="inlineStr">
        <is>
          <t>Existing</t>
        </is>
      </c>
      <c r="G9" s="17" t="inlineStr">
        <is>
          <t>H2 (30-60-90 plan)</t>
        </is>
      </c>
      <c r="H9" s="17" t="inlineStr"/>
    </row>
    <row r="10">
      <c r="A10" s="17" t="inlineStr">
        <is>
          <t>cybersecurity policy</t>
        </is>
      </c>
      <c r="B10" s="17" t="inlineStr">
        <is>
          <t>Long-tail</t>
        </is>
      </c>
      <c r="C10" s="18" t="n">
        <v>2400</v>
      </c>
      <c r="D10" s="17" t="inlineStr">
        <is>
          <t>Informational</t>
        </is>
      </c>
      <c r="E10" s="17" t="inlineStr">
        <is>
          <t>Moderate</t>
        </is>
      </c>
      <c r="F10" s="19" t="inlineStr">
        <is>
          <t>Existing</t>
        </is>
      </c>
      <c r="G10" s="17" t="inlineStr">
        <is>
          <t>Body, day 31–60 section</t>
        </is>
      </c>
      <c r="H10" s="17" t="inlineStr"/>
    </row>
    <row r="11">
      <c r="A11" s="17" t="inlineStr">
        <is>
          <t>cybersecurity framework</t>
        </is>
      </c>
      <c r="B11" s="17" t="inlineStr">
        <is>
          <t>Long-tail</t>
        </is>
      </c>
      <c r="C11" s="18" t="n">
        <v>2400</v>
      </c>
      <c r="D11" s="17" t="inlineStr">
        <is>
          <t>Informational</t>
        </is>
      </c>
      <c r="E11" s="17" t="inlineStr">
        <is>
          <t>Moderate</t>
        </is>
      </c>
      <c r="F11" s="19" t="inlineStr">
        <is>
          <t>Existing</t>
        </is>
      </c>
      <c r="G11" s="17" t="inlineStr">
        <is>
          <t>H2 (NIST foundation)</t>
        </is>
      </c>
      <c r="H11" s="17" t="inlineStr"/>
    </row>
    <row r="12">
      <c r="A12" s="17" t="inlineStr">
        <is>
          <t>how to build a cybersecurity program</t>
        </is>
      </c>
      <c r="B12" s="17" t="inlineStr">
        <is>
          <t>Long-tail</t>
        </is>
      </c>
      <c r="C12" s="18" t="n">
        <v>480</v>
      </c>
      <c r="D12" s="17" t="inlineStr">
        <is>
          <t>Informational</t>
        </is>
      </c>
      <c r="E12" s="17" t="inlineStr">
        <is>
          <t>Easy</t>
        </is>
      </c>
      <c r="F12" s="19" t="inlineStr">
        <is>
          <t>Existing</t>
        </is>
      </c>
      <c r="G12" s="17" t="inlineStr">
        <is>
          <t>Intro, maturity model</t>
        </is>
      </c>
      <c r="H12" s="17" t="inlineStr"/>
    </row>
    <row r="13">
      <c r="A13" s="17" t="inlineStr">
        <is>
          <t>cybersecurity budget planning</t>
        </is>
      </c>
      <c r="B13" s="17" t="inlineStr">
        <is>
          <t>Long-tail</t>
        </is>
      </c>
      <c r="C13" s="18" t="n">
        <v>390</v>
      </c>
      <c r="D13" s="17" t="inlineStr">
        <is>
          <t>Informational</t>
        </is>
      </c>
      <c r="E13" s="17" t="inlineStr">
        <is>
          <t>Easy</t>
        </is>
      </c>
      <c r="F13" s="19" t="inlineStr">
        <is>
          <t>Existing</t>
        </is>
      </c>
      <c r="G13" s="17" t="inlineStr">
        <is>
          <t>H2 (budget section)</t>
        </is>
      </c>
      <c r="H13" s="17" t="inlineStr"/>
    </row>
    <row r="14">
      <c r="A14" s="17" t="inlineStr">
        <is>
          <t>cybersecurity maturity model</t>
        </is>
      </c>
      <c r="B14" s="17" t="inlineStr">
        <is>
          <t>Long-tail</t>
        </is>
      </c>
      <c r="C14" s="18" t="n">
        <v>590</v>
      </c>
      <c r="D14" s="17" t="inlineStr">
        <is>
          <t>Informational</t>
        </is>
      </c>
      <c r="E14" s="17" t="inlineStr">
        <is>
          <t>Easy</t>
        </is>
      </c>
      <c r="F14" s="19" t="inlineStr">
        <is>
          <t>Existing</t>
        </is>
      </c>
      <c r="G14" s="17" t="inlineStr">
        <is>
          <t>H2 (maturity model section)</t>
        </is>
      </c>
      <c r="H14" s="17" t="inlineStr"/>
    </row>
    <row r="15">
      <c r="A15" s="17" t="inlineStr">
        <is>
          <t>NIST cybersecurity framework implementation</t>
        </is>
      </c>
      <c r="B15" s="17" t="inlineStr">
        <is>
          <t>Long-tail</t>
        </is>
      </c>
      <c r="C15" s="18" t="n">
        <v>720</v>
      </c>
      <c r="D15" s="17" t="inlineStr">
        <is>
          <t>Informational</t>
        </is>
      </c>
      <c r="E15" s="17" t="inlineStr">
        <is>
          <t>Moderate</t>
        </is>
      </c>
      <c r="F15" s="19" t="inlineStr">
        <is>
          <t>Existing</t>
        </is>
      </c>
      <c r="G15" s="17" t="inlineStr">
        <is>
          <t>H2 (NIST foundation)</t>
        </is>
      </c>
      <c r="H15" s="17" t="inlineStr"/>
    </row>
    <row r="16">
      <c r="A16" s="17" t="inlineStr">
        <is>
          <t>cybersecurity ROI for business</t>
        </is>
      </c>
      <c r="B16" s="17" t="inlineStr">
        <is>
          <t>Long-tail</t>
        </is>
      </c>
      <c r="C16" s="18" t="n">
        <v>320</v>
      </c>
      <c r="D16" s="17" t="inlineStr">
        <is>
          <t>Informational</t>
        </is>
      </c>
      <c r="E16" s="17" t="inlineStr">
        <is>
          <t>Easy</t>
        </is>
      </c>
      <c r="F16" s="19" t="inlineStr">
        <is>
          <t>Existing</t>
        </is>
      </c>
      <c r="G16" s="17" t="inlineStr">
        <is>
          <t>H2 (ROI section)</t>
        </is>
      </c>
      <c r="H16" s="17" t="inlineStr"/>
    </row>
    <row r="17">
      <c r="A17" s="17" t="inlineStr">
        <is>
          <t>cybersecurity risk assessment</t>
        </is>
      </c>
      <c r="B17" s="17" t="inlineStr">
        <is>
          <t>Long-tail</t>
        </is>
      </c>
      <c r="C17" s="18" t="n">
        <v>1600</v>
      </c>
      <c r="D17" s="17" t="inlineStr">
        <is>
          <t>Commercial</t>
        </is>
      </c>
      <c r="E17" s="17" t="inlineStr">
        <is>
          <t>Moderate</t>
        </is>
      </c>
      <c r="F17" s="19" t="inlineStr">
        <is>
          <t>Existing</t>
        </is>
      </c>
      <c r="G17" s="17" t="inlineStr">
        <is>
          <t>Day 1–30, primary CTA</t>
        </is>
      </c>
      <c r="H17" s="17" t="inlineStr"/>
    </row>
    <row r="18">
      <c r="A18" s="17" t="inlineStr">
        <is>
          <t>30 60 90 day cybersecurity plan</t>
        </is>
      </c>
      <c r="B18" s="17" t="inlineStr">
        <is>
          <t>Long-tail</t>
        </is>
      </c>
      <c r="C18" s="18" t="n">
        <v>260</v>
      </c>
      <c r="D18" s="17" t="inlineStr">
        <is>
          <t>Informational</t>
        </is>
      </c>
      <c r="E18" s="17" t="inlineStr">
        <is>
          <t>Easy</t>
        </is>
      </c>
      <c r="F18" s="19" t="inlineStr">
        <is>
          <t>Existing</t>
        </is>
      </c>
      <c r="G18" s="17" t="inlineStr">
        <is>
          <t>H2 (30-60-90 plan)</t>
        </is>
      </c>
      <c r="H18" s="17" t="inlineStr"/>
    </row>
    <row r="19">
      <c r="A19" s="17" t="inlineStr">
        <is>
          <t>cybersecurity strategy Dubai</t>
        </is>
      </c>
      <c r="B19" s="17" t="inlineStr">
        <is>
          <t>Geo</t>
        </is>
      </c>
      <c r="C19" s="18" t="n">
        <v>90</v>
      </c>
      <c r="D19" s="17" t="inlineStr">
        <is>
          <t>Commercial</t>
        </is>
      </c>
      <c r="E19" s="17" t="inlineStr">
        <is>
          <t>Easy</t>
        </is>
      </c>
      <c r="F19" s="21" t="inlineStr">
        <is>
          <t>New</t>
        </is>
      </c>
      <c r="G19" s="17" t="inlineStr">
        <is>
          <t>Meta description, H2</t>
        </is>
      </c>
      <c r="H19" s="17" t="inlineStr"/>
    </row>
    <row r="20">
      <c r="A20" s="17" t="inlineStr">
        <is>
          <t>cybersecurity consulting UAE</t>
        </is>
      </c>
      <c r="B20" s="17" t="inlineStr">
        <is>
          <t>Geo</t>
        </is>
      </c>
      <c r="C20" s="18" t="n">
        <v>210</v>
      </c>
      <c r="D20" s="17" t="inlineStr">
        <is>
          <t>Commercial</t>
        </is>
      </c>
      <c r="E20" s="17" t="inlineStr">
        <is>
          <t>Easy</t>
        </is>
      </c>
      <c r="F20" s="21" t="inlineStr">
        <is>
          <t>New</t>
        </is>
      </c>
      <c r="G20" s="17" t="inlineStr">
        <is>
          <t>H2, CTA</t>
        </is>
      </c>
      <c r="H20" s="17" t="inlineStr"/>
    </row>
    <row r="21">
      <c r="A21" s="17" t="inlineStr">
        <is>
          <t>NESA compliance roadmap</t>
        </is>
      </c>
      <c r="B21" s="17" t="inlineStr">
        <is>
          <t>Compliance</t>
        </is>
      </c>
      <c r="C21" s="18" t="n">
        <v>90</v>
      </c>
      <c r="D21" s="17" t="inlineStr">
        <is>
          <t>Commercial</t>
        </is>
      </c>
      <c r="E21" s="17" t="inlineStr">
        <is>
          <t>Easy</t>
        </is>
      </c>
      <c r="F21" s="21" t="inlineStr">
        <is>
          <t>New</t>
        </is>
      </c>
      <c r="G21" s="17" t="inlineStr">
        <is>
          <t>H2 (compliance section — new)</t>
        </is>
      </c>
      <c r="H21" s="17" t="inlineStr"/>
    </row>
    <row r="22">
      <c r="A22" s="17" t="inlineStr">
        <is>
          <t>SAMA cybersecurity framework implementation</t>
        </is>
      </c>
      <c r="B22" s="17" t="inlineStr">
        <is>
          <t>Compliance</t>
        </is>
      </c>
      <c r="C22" s="18" t="n">
        <v>70</v>
      </c>
      <c r="D22" s="17" t="inlineStr">
        <is>
          <t>Commercial</t>
        </is>
      </c>
      <c r="E22" s="17" t="inlineStr">
        <is>
          <t>Easy</t>
        </is>
      </c>
      <c r="F22" s="21" t="inlineStr">
        <is>
          <t>New</t>
        </is>
      </c>
      <c r="G22" s="17" t="inlineStr">
        <is>
          <t>Body</t>
        </is>
      </c>
      <c r="H22" s="17" t="inlineStr"/>
    </row>
    <row r="23">
      <c r="A23" s="17" t="inlineStr">
        <is>
          <t>ISO 27001 implementation UAE</t>
        </is>
      </c>
      <c r="B23" s="17" t="inlineStr">
        <is>
          <t>Compliance</t>
        </is>
      </c>
      <c r="C23" s="18" t="n">
        <v>260</v>
      </c>
      <c r="D23" s="17" t="inlineStr">
        <is>
          <t>Commercial</t>
        </is>
      </c>
      <c r="E23" s="17" t="inlineStr">
        <is>
          <t>Moderate</t>
        </is>
      </c>
      <c r="F23" s="21" t="inlineStr">
        <is>
          <t>New</t>
        </is>
      </c>
      <c r="G23" s="17" t="inlineStr">
        <is>
          <t>Body</t>
        </is>
      </c>
      <c r="H23" s="17" t="inlineStr"/>
    </row>
    <row r="24">
      <c r="A24" s="17" t="inlineStr">
        <is>
          <t>NIST CSF 2.0 implementation</t>
        </is>
      </c>
      <c r="B24" s="17" t="inlineStr">
        <is>
          <t>Compliance</t>
        </is>
      </c>
      <c r="C24" s="18" t="n">
        <v>590</v>
      </c>
      <c r="D24" s="17" t="inlineStr">
        <is>
          <t>Informational</t>
        </is>
      </c>
      <c r="E24" s="17" t="inlineStr">
        <is>
          <t>Moderate</t>
        </is>
      </c>
      <c r="F24" s="21" t="inlineStr">
        <is>
          <t>New</t>
        </is>
      </c>
      <c r="G24" s="17" t="inlineStr">
        <is>
          <t>Update NIST section to CSF 2.0</t>
        </is>
      </c>
      <c r="H24" s="17" t="inlineStr">
        <is>
          <t>Audit flagged — NIST CSF 2.0 released 2024.</t>
        </is>
      </c>
    </row>
    <row r="25">
      <c r="A25" s="17" t="inlineStr">
        <is>
          <t>SOC 2 readiness UAE</t>
        </is>
      </c>
      <c r="B25" s="17" t="inlineStr">
        <is>
          <t>Compliance</t>
        </is>
      </c>
      <c r="C25" s="18" t="n">
        <v>110</v>
      </c>
      <c r="D25" s="17" t="inlineStr">
        <is>
          <t>Commercial</t>
        </is>
      </c>
      <c r="E25" s="17" t="inlineStr">
        <is>
          <t>Easy</t>
        </is>
      </c>
      <c r="F25" s="21" t="inlineStr">
        <is>
          <t>New</t>
        </is>
      </c>
      <c r="G25" s="17" t="inlineStr">
        <is>
          <t>Body</t>
        </is>
      </c>
      <c r="H25" s="17" t="inlineStr"/>
    </row>
    <row r="26">
      <c r="A26" s="17" t="inlineStr">
        <is>
          <t>cybersecurity strategy workshop</t>
        </is>
      </c>
      <c r="B26" s="17" t="inlineStr">
        <is>
          <t>Long-tail</t>
        </is>
      </c>
      <c r="C26" s="18" t="n">
        <v>90</v>
      </c>
      <c r="D26" s="17" t="inlineStr">
        <is>
          <t>Transactional</t>
        </is>
      </c>
      <c r="E26" s="17" t="inlineStr">
        <is>
          <t>Easy</t>
        </is>
      </c>
      <c r="F26" s="21" t="inlineStr">
        <is>
          <t>New</t>
        </is>
      </c>
      <c r="G26" s="17" t="inlineStr">
        <is>
          <t>Primary CTA</t>
        </is>
      </c>
      <c r="H26" s="17" t="inlineStr">
        <is>
          <t>Matches the 90-minute workshop callout.</t>
        </is>
      </c>
    </row>
    <row r="27">
      <c r="A27" s="17" t="inlineStr">
        <is>
          <t>virtual CISO services UAE</t>
        </is>
      </c>
      <c r="B27" s="17" t="inlineStr">
        <is>
          <t>Geo</t>
        </is>
      </c>
      <c r="C27" s="18" t="n">
        <v>170</v>
      </c>
      <c r="D27" s="17" t="inlineStr">
        <is>
          <t>Commercial</t>
        </is>
      </c>
      <c r="E27" s="17" t="inlineStr">
        <is>
          <t>Easy</t>
        </is>
      </c>
      <c r="F27" s="21" t="inlineStr">
        <is>
          <t>New</t>
        </is>
      </c>
      <c r="G27" s="17" t="inlineStr">
        <is>
          <t>Body — new pillar stub</t>
        </is>
      </c>
      <c r="H27" s="17" t="inlineStr"/>
    </row>
    <row r="28">
      <c r="A28" s="17" t="inlineStr">
        <is>
          <t>how much should a company spend on cybersecurity</t>
        </is>
      </c>
      <c r="B28" s="17" t="inlineStr">
        <is>
          <t>Question</t>
        </is>
      </c>
      <c r="C28" s="18" t="n">
        <v>390</v>
      </c>
      <c r="D28" s="17" t="inlineStr">
        <is>
          <t>Informational</t>
        </is>
      </c>
      <c r="E28" s="17" t="inlineStr">
        <is>
          <t>Easy</t>
        </is>
      </c>
      <c r="F28" s="21" t="inlineStr">
        <is>
          <t>New</t>
        </is>
      </c>
      <c r="G28" s="17" t="inlineStr">
        <is>
          <t>FAQ</t>
        </is>
      </c>
      <c r="H28" s="17" t="inlineStr"/>
    </row>
    <row r="29">
      <c r="A29" s="17" t="inlineStr">
        <is>
          <t>what is the NIST cybersecurity framework</t>
        </is>
      </c>
      <c r="B29" s="17" t="inlineStr">
        <is>
          <t>Question</t>
        </is>
      </c>
      <c r="C29" s="18" t="n">
        <v>1900</v>
      </c>
      <c r="D29" s="17" t="inlineStr">
        <is>
          <t>Informational</t>
        </is>
      </c>
      <c r="E29" s="17" t="inlineStr">
        <is>
          <t>Moderate</t>
        </is>
      </c>
      <c r="F29" s="21" t="inlineStr">
        <is>
          <t>New</t>
        </is>
      </c>
      <c r="G29" s="17" t="inlineStr">
        <is>
          <t>FAQ</t>
        </is>
      </c>
      <c r="H29" s="17" t="inlineStr"/>
    </row>
    <row r="30">
      <c r="A30" s="17" t="inlineStr">
        <is>
          <t>how do you measure cybersecurity maturity</t>
        </is>
      </c>
      <c r="B30" s="17" t="inlineStr">
        <is>
          <t>Question</t>
        </is>
      </c>
      <c r="C30" s="18" t="n">
        <v>170</v>
      </c>
      <c r="D30" s="17" t="inlineStr">
        <is>
          <t>Informational</t>
        </is>
      </c>
      <c r="E30" s="17" t="inlineStr">
        <is>
          <t>Easy</t>
        </is>
      </c>
      <c r="F30" s="21" t="inlineStr">
        <is>
          <t>New</t>
        </is>
      </c>
      <c r="G30" s="17" t="inlineStr">
        <is>
          <t>FAQ, maturity section</t>
        </is>
      </c>
      <c r="H30" s="17" t="inlineStr"/>
    </row>
    <row r="31">
      <c r="A31" s="17" t="inlineStr">
        <is>
          <t>what is cybersecurity ROI</t>
        </is>
      </c>
      <c r="B31" s="17" t="inlineStr">
        <is>
          <t>Question</t>
        </is>
      </c>
      <c r="C31" s="18" t="n">
        <v>140</v>
      </c>
      <c r="D31" s="17" t="inlineStr">
        <is>
          <t>Informational</t>
        </is>
      </c>
      <c r="E31" s="17" t="inlineStr">
        <is>
          <t>Easy</t>
        </is>
      </c>
      <c r="F31" s="21" t="inlineStr">
        <is>
          <t>New</t>
        </is>
      </c>
      <c r="G31" s="17" t="inlineStr">
        <is>
          <t>FAQ</t>
        </is>
      </c>
      <c r="H31" s="17" t="inlineStr"/>
    </row>
    <row r="33">
      <c r="A33" s="4" t="inlineStr">
        <is>
          <t>Total keywords:</t>
        </is>
      </c>
      <c r="B33" s="4">
        <f>COUNT(C7:C31)</f>
        <v/>
      </c>
    </row>
    <row r="34">
      <c r="A34" s="4" t="inlineStr">
        <is>
          <t>New keywords:</t>
        </is>
      </c>
      <c r="B34" s="4">
        <f>COUNTIF(F7:F31,"New")</f>
        <v/>
      </c>
    </row>
    <row r="35">
      <c r="A35" s="4" t="inlineStr">
        <is>
          <t>Revised keywords:</t>
        </is>
      </c>
      <c r="B35" s="4">
        <f>COUNTIF(F7:F31,"Revised")</f>
        <v/>
      </c>
    </row>
    <row r="36">
      <c r="A36" s="4" t="inlineStr">
        <is>
          <t>Total est. monthly volume:</t>
        </is>
      </c>
      <c r="B36" s="22">
        <f>SUM(C7:C31)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6" customWidth="1" min="3" max="3"/>
    <col width="14" customWidth="1" min="4" max="4"/>
    <col width="14" customWidth="1" min="5" max="5"/>
    <col width="12" customWidth="1" min="6" max="6"/>
    <col width="70" customWidth="1" min="7" max="7"/>
  </cols>
  <sheetData>
    <row r="1">
      <c r="A1" s="15" t="inlineStr">
        <is>
          <t>Recommended NEW Pillar Pages (from audit)</t>
        </is>
      </c>
    </row>
    <row r="2">
      <c r="A2" s="2" t="inlineStr">
        <is>
          <t>Build these pages to close topical gaps the existing 10-page cluster leaves. Ranked by priority.</t>
        </is>
      </c>
    </row>
    <row r="4" ht="28" customHeight="1">
      <c r="A4" s="16" t="inlineStr">
        <is>
          <t>Proposed Page</t>
        </is>
      </c>
      <c r="B4" s="16" t="inlineStr">
        <is>
          <t>URL Slug</t>
        </is>
      </c>
      <c r="C4" s="16" t="inlineStr">
        <is>
          <t>Primary Keyword</t>
        </is>
      </c>
      <c r="D4" s="16" t="inlineStr">
        <is>
          <t>Est. Volume</t>
        </is>
      </c>
      <c r="E4" s="16" t="inlineStr">
        <is>
          <t>Intent</t>
        </is>
      </c>
      <c r="F4" s="16" t="inlineStr">
        <is>
          <t>Priority</t>
        </is>
      </c>
      <c r="G4" s="16" t="inlineStr">
        <is>
          <t>Why it matters</t>
        </is>
      </c>
    </row>
    <row r="5">
      <c r="A5" s="17" t="inlineStr">
        <is>
          <t>Identity &amp; Access Management (IAM)</t>
        </is>
      </c>
      <c r="B5" s="17" t="inlineStr">
        <is>
          <t>/cybersecurity/identity-access-management</t>
        </is>
      </c>
      <c r="C5" s="17" t="inlineStr">
        <is>
          <t>identity and access management</t>
        </is>
      </c>
      <c r="D5" s="18" t="n">
        <v>14800</v>
      </c>
      <c r="E5" s="17" t="inlineStr">
        <is>
          <t>Commercial</t>
        </is>
      </c>
      <c r="F5" s="23" t="inlineStr">
        <is>
          <t>High</t>
        </is>
      </c>
      <c r="G5" s="17" t="inlineStr">
        <is>
          <t>Orphaned pillar — all SASE/ZTNA pages reference IAM but there's no hub page. MFA, SSO, PAM, IGA all sit here.</t>
        </is>
      </c>
    </row>
    <row r="6">
      <c r="A6" s="17" t="inlineStr">
        <is>
          <t>Privileged Access Management (PAM)</t>
        </is>
      </c>
      <c r="B6" s="17" t="inlineStr">
        <is>
          <t>/cybersecurity/privileged-access-management</t>
        </is>
      </c>
      <c r="C6" s="17" t="inlineStr">
        <is>
          <t>privileged access management</t>
        </is>
      </c>
      <c r="D6" s="18" t="n">
        <v>4400</v>
      </c>
      <c r="E6" s="17" t="inlineStr">
        <is>
          <t>Commercial</t>
        </is>
      </c>
      <c r="F6" s="23" t="inlineStr">
        <is>
          <t>High</t>
        </is>
      </c>
      <c r="G6" s="17" t="inlineStr">
        <is>
          <t>CyberArk/BeyondTrust/Delinea — high commercial intent, regulated industries mandatory.</t>
        </is>
      </c>
    </row>
    <row r="7">
      <c r="A7" s="17" t="inlineStr">
        <is>
          <t>Backup, DR &amp; Ransomware Recovery</t>
        </is>
      </c>
      <c r="B7" s="17" t="inlineStr">
        <is>
          <t>/cybersecurity/backup-disaster-recovery</t>
        </is>
      </c>
      <c r="C7" s="17" t="inlineStr">
        <is>
          <t>ransomware backup and recovery</t>
        </is>
      </c>
      <c r="D7" s="18" t="n">
        <v>2400</v>
      </c>
      <c r="E7" s="17" t="inlineStr">
        <is>
          <t>Commercial</t>
        </is>
      </c>
      <c r="F7" s="23" t="inlineStr">
        <is>
          <t>High</t>
        </is>
      </c>
      <c r="G7" s="17" t="inlineStr">
        <is>
          <t>Page 03 &amp; 10 reference BCDR but no hub. Veeam/Rubrik/Cohesity partners.</t>
        </is>
      </c>
    </row>
    <row r="8">
      <c r="A8" s="17" t="inlineStr">
        <is>
          <t>Cloud Security Posture Management (CSPM)</t>
        </is>
      </c>
      <c r="B8" s="17" t="inlineStr">
        <is>
          <t>/cybersecurity/cloud-security-posture</t>
        </is>
      </c>
      <c r="C8" s="17" t="inlineStr">
        <is>
          <t>cloud security posture management</t>
        </is>
      </c>
      <c r="D8" s="18" t="n">
        <v>690</v>
      </c>
      <c r="E8" s="17" t="inlineStr">
        <is>
          <t>Commercial</t>
        </is>
      </c>
      <c r="F8" s="23" t="inlineStr">
        <is>
          <t>High</t>
        </is>
      </c>
      <c r="G8" s="17" t="inlineStr">
        <is>
          <t>Page 06 already links to a non-existent CSPM page. Wiz/Prisma Cloud/Orca.</t>
        </is>
      </c>
    </row>
    <row r="9">
      <c r="A9" s="17" t="inlineStr">
        <is>
          <t>Security Awareness Training (SAT)</t>
        </is>
      </c>
      <c r="B9" s="17" t="inlineStr">
        <is>
          <t>/cybersecurity/security-awareness-training</t>
        </is>
      </c>
      <c r="C9" s="17" t="inlineStr">
        <is>
          <t>security awareness training</t>
        </is>
      </c>
      <c r="D9" s="18" t="n">
        <v>9900</v>
      </c>
      <c r="E9" s="17" t="inlineStr">
        <is>
          <t>Commercial</t>
        </is>
      </c>
      <c r="F9" s="23" t="inlineStr">
        <is>
          <t>High</t>
        </is>
      </c>
      <c r="G9" s="17" t="inlineStr">
        <is>
          <t>Page 04 mentions but no pillar. KnowBe4/Proofpoint/Cofense.</t>
        </is>
      </c>
    </row>
    <row r="10">
      <c r="A10" s="17" t="inlineStr">
        <is>
          <t>Compliance Hub (NESA, SAMA, PDPL, ISO 27001)</t>
        </is>
      </c>
      <c r="B10" s="17" t="inlineStr">
        <is>
          <t>/cybersecurity/compliance-uae</t>
        </is>
      </c>
      <c r="C10" s="17" t="inlineStr">
        <is>
          <t>NESA compliance UAE</t>
        </is>
      </c>
      <c r="D10" s="18" t="n">
        <v>390</v>
      </c>
      <c r="E10" s="17" t="inlineStr">
        <is>
          <t>Commercial</t>
        </is>
      </c>
      <c r="F10" s="24" t="inlineStr">
        <is>
          <t>Critical</t>
        </is>
      </c>
      <c r="G10" s="17" t="inlineStr">
        <is>
          <t>Audit priority #1 — collects all UAE/GCC compliance keywords and interlinks the cluster.</t>
        </is>
      </c>
    </row>
    <row r="11">
      <c r="A11" s="17" t="inlineStr">
        <is>
          <t>OT / ICS Security</t>
        </is>
      </c>
      <c r="B11" s="17" t="inlineStr">
        <is>
          <t>/cybersecurity/ot-ics-security</t>
        </is>
      </c>
      <c r="C11" s="17" t="inlineStr">
        <is>
          <t>OT cybersecurity</t>
        </is>
      </c>
      <c r="D11" s="18" t="n">
        <v>1300</v>
      </c>
      <c r="E11" s="17" t="inlineStr">
        <is>
          <t>Commercial</t>
        </is>
      </c>
      <c r="F11" s="21" t="inlineStr">
        <is>
          <t>Medium</t>
        </is>
      </c>
      <c r="G11" s="17" t="inlineStr">
        <is>
          <t>Critical for UAE oil &amp; gas / utilities. Claroty, Nozomi, Dragos.</t>
        </is>
      </c>
    </row>
    <row r="12">
      <c r="A12" s="17" t="inlineStr">
        <is>
          <t>Mobile Device Security / MDM</t>
        </is>
      </c>
      <c r="B12" s="17" t="inlineStr">
        <is>
          <t>/cybersecurity/mobile-device-management</t>
        </is>
      </c>
      <c r="C12" s="17" t="inlineStr">
        <is>
          <t>mobile device management</t>
        </is>
      </c>
      <c r="D12" s="18" t="n">
        <v>8100</v>
      </c>
      <c r="E12" s="17" t="inlineStr">
        <is>
          <t>Commercial</t>
        </is>
      </c>
      <c r="F12" s="21" t="inlineStr">
        <is>
          <t>Medium</t>
        </is>
      </c>
      <c r="G12" s="17" t="inlineStr">
        <is>
          <t>Intune/Jamf/Workspace ONE. Cross-link from page 03.</t>
        </is>
      </c>
    </row>
    <row r="13">
      <c r="A13" s="17" t="inlineStr">
        <is>
          <t>Dark Web Monitoring &amp; Threat Intel</t>
        </is>
      </c>
      <c r="B13" s="17" t="inlineStr">
        <is>
          <t>/cybersecurity/threat-intelligence</t>
        </is>
      </c>
      <c r="C13" s="17" t="inlineStr">
        <is>
          <t>dark web monitoring services</t>
        </is>
      </c>
      <c r="D13" s="18" t="n">
        <v>1600</v>
      </c>
      <c r="E13" s="17" t="inlineStr">
        <is>
          <t>Commercial</t>
        </is>
      </c>
      <c r="F13" s="21" t="inlineStr">
        <is>
          <t>Medium</t>
        </is>
      </c>
      <c r="G13" s="17" t="inlineStr">
        <is>
          <t>Recorded Future, Flashpoint, Intel 471. Cross-link from pages 07, 08.</t>
        </is>
      </c>
    </row>
    <row r="14">
      <c r="A14" s="17" t="inlineStr">
        <is>
          <t>Incident Response Retainer</t>
        </is>
      </c>
      <c r="B14" s="17" t="inlineStr">
        <is>
          <t>/cybersecurity/incident-response</t>
        </is>
      </c>
      <c r="C14" s="17" t="inlineStr">
        <is>
          <t>incident response services</t>
        </is>
      </c>
      <c r="D14" s="18" t="n">
        <v>720</v>
      </c>
      <c r="E14" s="17" t="inlineStr">
        <is>
          <t>Transactional</t>
        </is>
      </c>
      <c r="F14" s="21" t="inlineStr">
        <is>
          <t>Medium</t>
        </is>
      </c>
      <c r="G14" s="17" t="inlineStr">
        <is>
          <t>Page 07 references but no dedicated page. Mandiant/Unit 42/CrowdStrike Services.</t>
        </is>
      </c>
    </row>
    <row r="15">
      <c r="A15" s="17" t="inlineStr">
        <is>
          <t>Virtual CISO (vCISO)</t>
        </is>
      </c>
      <c r="B15" s="17" t="inlineStr">
        <is>
          <t>/cybersecurity/virtual-ciso-uae</t>
        </is>
      </c>
      <c r="C15" s="17" t="inlineStr">
        <is>
          <t>virtual CISO services</t>
        </is>
      </c>
      <c r="D15" s="18" t="n">
        <v>1900</v>
      </c>
      <c r="E15" s="17" t="inlineStr">
        <is>
          <t>Commercial</t>
        </is>
      </c>
      <c r="F15" s="23" t="inlineStr">
        <is>
          <t>High</t>
        </is>
      </c>
      <c r="G15" s="17" t="inlineStr">
        <is>
          <t>High-margin consulting offer. Natural fit with page 10 roadmap.</t>
        </is>
      </c>
    </row>
    <row r="16">
      <c r="A16" s="17" t="inlineStr">
        <is>
          <t>Ransomware Protection Hub</t>
        </is>
      </c>
      <c r="B16" s="17" t="inlineStr">
        <is>
          <t>/cybersecurity/ransomware-protection</t>
        </is>
      </c>
      <c r="C16" s="17" t="inlineStr">
        <is>
          <t>ransomware protection</t>
        </is>
      </c>
      <c r="D16" s="18" t="n">
        <v>11000</v>
      </c>
      <c r="E16" s="17" t="inlineStr">
        <is>
          <t>Commercial</t>
        </is>
      </c>
      <c r="F16" s="21" t="inlineStr">
        <is>
          <t>Medium</t>
        </is>
      </c>
      <c r="G16" s="17" t="inlineStr">
        <is>
          <t>Consolidates endpoint, email, backup angles. Redirect target for ransomware queries.</t>
        </is>
      </c>
    </row>
    <row r="17">
      <c r="A17" s="17" t="inlineStr">
        <is>
          <t>SOC 2 Readiness</t>
        </is>
      </c>
      <c r="B17" s="17" t="inlineStr">
        <is>
          <t>/cybersecurity/soc-2-readiness</t>
        </is>
      </c>
      <c r="C17" s="17" t="inlineStr">
        <is>
          <t>SOC 2 compliance consulting</t>
        </is>
      </c>
      <c r="D17" s="18" t="n">
        <v>720</v>
      </c>
      <c r="E17" s="17" t="inlineStr">
        <is>
          <t>Commercial</t>
        </is>
      </c>
      <c r="F17" s="21" t="inlineStr">
        <is>
          <t>Medium</t>
        </is>
      </c>
      <c r="G17" s="17" t="inlineStr">
        <is>
          <t>Tech startups scaling into MEA need this for enterprise deals.</t>
        </is>
      </c>
    </row>
    <row r="18">
      <c r="A18" s="17" t="inlineStr">
        <is>
          <t>IoT Security</t>
        </is>
      </c>
      <c r="B18" s="17" t="inlineStr">
        <is>
          <t>/cybersecurity/iot-security</t>
        </is>
      </c>
      <c r="C18" s="17" t="inlineStr">
        <is>
          <t>IoT security solutions</t>
        </is>
      </c>
      <c r="D18" s="18" t="n">
        <v>1900</v>
      </c>
      <c r="E18" s="17" t="inlineStr">
        <is>
          <t>Commercial</t>
        </is>
      </c>
      <c r="F18" s="19" t="inlineStr">
        <is>
          <t>Low</t>
        </is>
      </c>
      <c r="G18" s="17" t="inlineStr">
        <is>
          <t>Emerging — OT-adjacent, tie to smart-city initiatives.</t>
        </is>
      </c>
    </row>
    <row r="20">
      <c r="A20" s="4" t="inlineStr">
        <is>
          <t>Total backlog pages:</t>
        </is>
      </c>
      <c r="B20" s="4">
        <f>COUNTA(A5:A18)</f>
        <v/>
      </c>
    </row>
    <row r="21">
      <c r="A21" s="4" t="inlineStr">
        <is>
          <t>Combined monthly volume:</t>
        </is>
      </c>
      <c r="B21" s="22">
        <f>SUM(D5:D18)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2026-04-18T06:05:56Z</dcterms:created>
  <dcterms:modified xmlns:dcterms="http://purl.org/dc/terms/" xmlns:xsi="http://www.w3.org/2001/XMLSchema-instance" xsi:type="dcterms:W3CDTF">2026-04-18T06:05:56Z</dcterms:modified>
</cp:coreProperties>
</file>